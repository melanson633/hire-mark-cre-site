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P:\Accounting\MM Projects\"/>
    </mc:Choice>
  </mc:AlternateContent>
  <xr:revisionPtr revIDLastSave="0" documentId="13_ncr:1_{42D154AC-87E8-4500-9E94-2CF920C320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J Kelly- in house" sheetId="1" r:id="rId1"/>
    <sheet name="Tenant COPY" sheetId="3" r:id="rId2"/>
  </sheets>
  <definedNames>
    <definedName name="_xlnm.Print_Area" localSheetId="0">'RJ Kelly- in house'!$A$1:$H$30</definedName>
    <definedName name="_xlnm.Print_Area" localSheetId="1">'Tenant COPY'!$A$1:$H$33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G22" i="1"/>
  <c r="G17" i="1" l="1"/>
  <c r="G18" i="1" l="1"/>
  <c r="G25" i="1" s="1"/>
  <c r="G27" i="1" s="1"/>
  <c r="G20" i="3" s="1"/>
</calcChain>
</file>

<file path=xl/sharedStrings.xml><?xml version="1.0" encoding="utf-8"?>
<sst xmlns="http://schemas.openxmlformats.org/spreadsheetml/2006/main" count="38" uniqueCount="36">
  <si>
    <t xml:space="preserve">Date: </t>
  </si>
  <si>
    <t xml:space="preserve">RE: </t>
  </si>
  <si>
    <t xml:space="preserve">Materials </t>
  </si>
  <si>
    <t xml:space="preserve">Total </t>
  </si>
  <si>
    <t xml:space="preserve">Grand Total </t>
  </si>
  <si>
    <t xml:space="preserve">Labor </t>
  </si>
  <si>
    <t xml:space="preserve">Hrs </t>
  </si>
  <si>
    <t xml:space="preserve">Qty </t>
  </si>
  <si>
    <t>Cost per unit</t>
  </si>
  <si>
    <t xml:space="preserve">Rate </t>
  </si>
  <si>
    <t>Tax 6.25%</t>
  </si>
  <si>
    <t>Management Fee 20%</t>
  </si>
  <si>
    <t xml:space="preserve">Total Amount Due: </t>
  </si>
  <si>
    <t xml:space="preserve">Eastern Insurance Group </t>
  </si>
  <si>
    <t xml:space="preserve">100 Quannapowitt Parkway </t>
  </si>
  <si>
    <t>Wakefield MA 01880</t>
  </si>
  <si>
    <t xml:space="preserve">Attn: John Topper </t>
  </si>
  <si>
    <t xml:space="preserve">Aluminum Signs </t>
  </si>
  <si>
    <t>Supplies: Accurate Glass/Home Depot</t>
  </si>
  <si>
    <t>-</t>
  </si>
  <si>
    <t>Invoice</t>
  </si>
  <si>
    <t xml:space="preserve">Invoice: </t>
  </si>
  <si>
    <t>INVOICE</t>
  </si>
  <si>
    <t>Due upon receipt of invoice</t>
  </si>
  <si>
    <t>Please make check payable to:</t>
  </si>
  <si>
    <t>Remit Address:</t>
  </si>
  <si>
    <t>55 Cambridge Street</t>
  </si>
  <si>
    <t>Burlington  MA 01803</t>
  </si>
  <si>
    <t xml:space="preserve">RJ Kelly, Co., Inc. </t>
  </si>
  <si>
    <t xml:space="preserve">Costs include labor + materials (including custom aluminum signs) needed to install 20 minute parking signs </t>
  </si>
  <si>
    <t>Comparian Insurance Agency</t>
  </si>
  <si>
    <t>405 Cochituate Road</t>
  </si>
  <si>
    <t>Framingham, MA 01701</t>
  </si>
  <si>
    <t>Attn: Accounts Payable</t>
  </si>
  <si>
    <t xml:space="preserve">Engineer OT for Exterior Signage Removal </t>
  </si>
  <si>
    <t xml:space="preserve">1 Engineer, 4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</si>
</sst>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/>
    <xf numFmtId="10" fontId="5" fillId="0" borderId="0" xfId="0" applyNumberFormat="1" applyFont="1" applyAlignment="1">
      <alignment horizontal="left"/>
    </xf>
    <xf numFmtId="0" fontId="1" fillId="0" borderId="0" xfId="0" applyFont="1"/>
    <xf numFmtId="0" fontId="7" fillId="0" borderId="0" xfId="0" applyFont="1"/>
    <xf numFmtId="0" fontId="1" fillId="0" borderId="1" xfId="0" applyFont="1" applyBorder="1"/>
    <xf numFmtId="8" fontId="1" fillId="0" borderId="0" xfId="0" applyNumberFormat="1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4" fontId="0" fillId="0" borderId="0" xfId="0" applyNumberFormat="1" applyAlignment="1">
      <alignment horizontal="left"/>
    </xf>
    <xf numFmtId="44" fontId="1" fillId="0" borderId="2" xfId="0" applyNumberFormat="1" applyFon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4" fontId="8" fillId="0" borderId="0" xfId="0" applyNumberFormat="1" applyFont="1" applyAlignment="1">
      <alignment horizontal="center"/>
    </xf>
    <xf numFmtId="0" fontId="9" fillId="0" borderId="0" xfId="0" applyFont="1"/>
    <xf numFmtId="0" fontId="8" fillId="0" borderId="0" xfId="0" applyFont="1"/>
    <xf numFmtId="4" fontId="10" fillId="0" borderId="0" xfId="0" applyNumberFormat="1" applyFont="1" applyAlignment="1">
      <alignment horizontal="left"/>
    </xf>
    <xf numFmtId="0" fontId="1" fillId="2" borderId="0" xfId="0" applyFont="1" applyFill="1"/>
    <xf numFmtId="0" fontId="0" fillId="0" borderId="0" xfId="0" applyAlignment="1">
      <alignment horizontal="left" wrapText="1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44" fontId="1" fillId="2" borderId="0" xfId="0" applyNumberFormat="1" applyFont="1" applyFill="1" applyAlignment="1">
      <alignment horizontal="left"/>
    </xf>
    <xf numFmtId="0" fontId="0" fillId="2" borderId="0" xfId="0" applyFill="1"/>
    <xf numFmtId="4" fontId="8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19050</xdr:rowOff>
    </xdr:from>
    <xdr:to>
      <xdr:col>5</xdr:col>
      <xdr:colOff>9525</xdr:colOff>
      <xdr:row>4</xdr:row>
      <xdr:rowOff>66674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9550"/>
          <a:ext cx="3857625" cy="8381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19050</xdr:rowOff>
    </xdr:from>
    <xdr:to>
      <xdr:col>5</xdr:col>
      <xdr:colOff>9525</xdr:colOff>
      <xdr:row>4</xdr:row>
      <xdr:rowOff>66674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9550"/>
          <a:ext cx="3857625" cy="8381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9"/>
  <sheetViews>
    <sheetView tabSelected="1" zoomScaleNormal="100" workbookViewId="0">
      <selection activeCell="N26" sqref="N26"/>
    </sheetView>
  </sheetViews>
  <sheetFormatPr defaultRowHeight="15" x14ac:dyDescent="0.25"/>
  <cols>
    <col min="1" max="1" width="9.140625" customWidth="1"/>
    <col min="2" max="2" width="9" customWidth="1"/>
    <col min="3" max="3" width="18.5703125" customWidth="1"/>
    <col min="5" max="5" width="12.85546875" customWidth="1"/>
    <col min="6" max="6" width="16.85546875" customWidth="1"/>
    <col min="7" max="7" width="13.85546875" customWidth="1"/>
    <col min="8" max="8" width="19.140625" customWidth="1"/>
    <col min="9" max="9" width="9.140625" hidden="1" customWidth="1"/>
  </cols>
  <sheetData>
    <row r="2" spans="1:8" ht="32.25" x14ac:dyDescent="0.5">
      <c r="G2" s="26" t="s">
        <v>20</v>
      </c>
      <c r="H2" s="27"/>
    </row>
    <row r="7" spans="1:8" x14ac:dyDescent="0.25">
      <c r="A7" s="28" t="s">
        <v>30</v>
      </c>
      <c r="B7" s="28"/>
      <c r="C7" s="28"/>
      <c r="D7" s="28"/>
      <c r="G7" t="s">
        <v>0</v>
      </c>
      <c r="H7" s="1">
        <v>45776</v>
      </c>
    </row>
    <row r="8" spans="1:8" x14ac:dyDescent="0.25">
      <c r="A8" s="28" t="s">
        <v>31</v>
      </c>
      <c r="B8" s="28"/>
      <c r="C8" s="28"/>
      <c r="D8" s="28"/>
    </row>
    <row r="9" spans="1:8" x14ac:dyDescent="0.25">
      <c r="A9" s="28" t="s">
        <v>32</v>
      </c>
      <c r="B9" s="28"/>
      <c r="C9" s="28"/>
      <c r="D9" s="28"/>
    </row>
    <row r="10" spans="1:8" x14ac:dyDescent="0.25">
      <c r="A10" s="28" t="s">
        <v>33</v>
      </c>
      <c r="B10" s="28"/>
      <c r="C10" s="28"/>
      <c r="D10" s="28"/>
    </row>
    <row r="13" spans="1:8" x14ac:dyDescent="0.25">
      <c r="A13" t="s">
        <v>1</v>
      </c>
      <c r="B13" s="25" t="s">
        <v>34</v>
      </c>
      <c r="C13" s="25"/>
      <c r="D13" s="25"/>
      <c r="E13" s="25"/>
      <c r="F13" s="25"/>
      <c r="G13" s="25"/>
      <c r="H13" s="25"/>
    </row>
    <row r="16" spans="1:8" x14ac:dyDescent="0.25">
      <c r="A16" s="2"/>
      <c r="B16" s="9" t="s">
        <v>2</v>
      </c>
      <c r="C16" s="9"/>
      <c r="D16" s="9" t="s">
        <v>7</v>
      </c>
      <c r="E16" s="9" t="s">
        <v>8</v>
      </c>
      <c r="F16" s="11"/>
      <c r="G16" s="10" t="s">
        <v>3</v>
      </c>
    </row>
    <row r="17" spans="1:7" ht="33" hidden="1" customHeight="1" x14ac:dyDescent="0.25">
      <c r="A17" s="2"/>
      <c r="B17" s="24" t="s">
        <v>17</v>
      </c>
      <c r="C17" s="24"/>
      <c r="D17" s="2"/>
      <c r="E17" s="16">
        <v>88.3</v>
      </c>
      <c r="F17" s="11"/>
      <c r="G17" s="14">
        <f>SUM(D17*E17)</f>
        <v>0</v>
      </c>
    </row>
    <row r="18" spans="1:7" hidden="1" x14ac:dyDescent="0.25">
      <c r="A18" s="2"/>
      <c r="B18" s="9"/>
      <c r="C18" s="12"/>
      <c r="D18" s="4"/>
      <c r="E18" s="9" t="s">
        <v>10</v>
      </c>
      <c r="F18" s="11"/>
      <c r="G18" s="14">
        <f>SUM(G17*0.0625)</f>
        <v>0</v>
      </c>
    </row>
    <row r="19" spans="1:7" ht="35.25" hidden="1" customHeight="1" x14ac:dyDescent="0.25">
      <c r="A19" s="2"/>
      <c r="B19" s="24" t="s">
        <v>18</v>
      </c>
      <c r="C19" s="24"/>
      <c r="D19" s="4" t="s">
        <v>19</v>
      </c>
      <c r="E19" s="16">
        <v>400</v>
      </c>
      <c r="F19" s="11"/>
      <c r="G19" s="14">
        <v>400</v>
      </c>
    </row>
    <row r="20" spans="1:7" hidden="1" x14ac:dyDescent="0.25">
      <c r="A20" s="2"/>
      <c r="B20" s="2"/>
      <c r="C20" s="2"/>
      <c r="D20" s="2"/>
      <c r="E20" s="2"/>
      <c r="F20" s="11"/>
      <c r="G20" s="14"/>
    </row>
    <row r="21" spans="1:7" x14ac:dyDescent="0.25">
      <c r="A21" s="2"/>
      <c r="B21" s="9" t="s">
        <v>5</v>
      </c>
      <c r="C21" s="9"/>
      <c r="D21" s="9" t="s">
        <v>6</v>
      </c>
      <c r="E21" s="9" t="s">
        <v>9</v>
      </c>
      <c r="F21" s="11"/>
      <c r="G21" s="14"/>
    </row>
    <row r="22" spans="1:7" ht="29.25" customHeight="1" x14ac:dyDescent="0.25">
      <c r="A22" s="2"/>
      <c r="B22" s="24" t="s">
        <v>35</v>
      </c>
      <c r="C22" s="24"/>
      <c r="D22" s="2">
        <v>4</v>
      </c>
      <c r="E22" s="16">
        <v>85</v>
      </c>
      <c r="F22" s="11"/>
      <c r="G22" s="14">
        <f>SUM(E22*D22)</f>
        <v>340</v>
      </c>
    </row>
    <row r="23" spans="1:7" ht="29.25" customHeight="1" x14ac:dyDescent="0.25">
      <c r="A23" s="2"/>
      <c r="B23" s="24"/>
      <c r="C23" s="24"/>
      <c r="D23" s="2"/>
      <c r="E23" s="16"/>
      <c r="F23" s="11"/>
      <c r="G23" s="14"/>
    </row>
    <row r="24" spans="1:7" ht="29.25" customHeight="1" x14ac:dyDescent="0.25">
      <c r="A24" s="2"/>
      <c r="B24" s="17"/>
      <c r="C24" s="17"/>
      <c r="D24" s="2"/>
      <c r="E24" s="16"/>
      <c r="F24" s="11"/>
      <c r="G24" s="14"/>
    </row>
    <row r="25" spans="1:7" x14ac:dyDescent="0.25">
      <c r="A25" s="2"/>
      <c r="B25" s="9"/>
      <c r="C25" s="13"/>
      <c r="D25" s="2"/>
      <c r="E25" s="9" t="s">
        <v>11</v>
      </c>
      <c r="F25" s="11"/>
      <c r="G25" s="14">
        <f>SUM(G17:G23)*0.2</f>
        <v>148</v>
      </c>
    </row>
    <row r="26" spans="1:7" x14ac:dyDescent="0.25">
      <c r="B26" s="6"/>
      <c r="C26" s="3"/>
      <c r="F26" s="5"/>
      <c r="G26" s="14"/>
    </row>
    <row r="27" spans="1:7" x14ac:dyDescent="0.25">
      <c r="F27" s="7" t="s">
        <v>4</v>
      </c>
      <c r="G27" s="15">
        <f>SUM(G17:G25)</f>
        <v>888</v>
      </c>
    </row>
    <row r="28" spans="1:7" x14ac:dyDescent="0.25">
      <c r="F28" s="5"/>
      <c r="G28" s="8"/>
    </row>
    <row r="29" spans="1:7" x14ac:dyDescent="0.25">
      <c r="F29" s="5"/>
      <c r="G29" s="8"/>
    </row>
  </sheetData>
  <mergeCells count="10">
    <mergeCell ref="B23:C23"/>
    <mergeCell ref="B13:H13"/>
    <mergeCell ref="G2:H2"/>
    <mergeCell ref="B17:C17"/>
    <mergeCell ref="B22:C22"/>
    <mergeCell ref="A7:D7"/>
    <mergeCell ref="A8:D8"/>
    <mergeCell ref="A9:D9"/>
    <mergeCell ref="A10:D10"/>
    <mergeCell ref="B19:C19"/>
  </mergeCells>
  <pageMargins left="0.7" right="0.7" top="0.75" bottom="0.75" header="0.3" footer="0.3"/>
  <pageSetup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4"/>
  <sheetViews>
    <sheetView zoomScaleNormal="100" workbookViewId="0">
      <selection activeCell="H9" sqref="H9"/>
    </sheetView>
  </sheetViews>
  <sheetFormatPr defaultRowHeight="15" x14ac:dyDescent="0.25"/>
  <cols>
    <col min="1" max="1" width="9.140625" customWidth="1"/>
    <col min="2" max="2" width="9" customWidth="1"/>
    <col min="3" max="3" width="18.5703125" customWidth="1"/>
    <col min="5" max="5" width="12.85546875" customWidth="1"/>
    <col min="6" max="6" width="19.140625" customWidth="1"/>
    <col min="7" max="7" width="11.85546875" customWidth="1"/>
    <col min="8" max="8" width="19.140625" customWidth="1"/>
    <col min="9" max="9" width="9.140625" hidden="1" customWidth="1"/>
  </cols>
  <sheetData>
    <row r="2" spans="1:8" ht="32.25" x14ac:dyDescent="0.5">
      <c r="G2" s="26" t="s">
        <v>22</v>
      </c>
      <c r="H2" s="27"/>
    </row>
    <row r="7" spans="1:8" x14ac:dyDescent="0.25">
      <c r="A7" s="28" t="s">
        <v>13</v>
      </c>
      <c r="B7" s="28"/>
      <c r="C7" s="28"/>
      <c r="D7" s="28"/>
      <c r="G7" t="s">
        <v>0</v>
      </c>
      <c r="H7" s="1">
        <v>42475</v>
      </c>
    </row>
    <row r="8" spans="1:8" x14ac:dyDescent="0.25">
      <c r="A8" s="28" t="s">
        <v>14</v>
      </c>
      <c r="B8" s="28"/>
      <c r="C8" s="28"/>
      <c r="D8" s="28"/>
    </row>
    <row r="9" spans="1:8" x14ac:dyDescent="0.25">
      <c r="A9" s="28" t="s">
        <v>15</v>
      </c>
      <c r="B9" s="28"/>
      <c r="C9" s="28"/>
      <c r="D9" s="28"/>
      <c r="G9" t="s">
        <v>21</v>
      </c>
      <c r="H9" s="18"/>
    </row>
    <row r="10" spans="1:8" x14ac:dyDescent="0.25">
      <c r="A10" s="28" t="s">
        <v>16</v>
      </c>
      <c r="B10" s="28"/>
      <c r="C10" s="28"/>
      <c r="D10" s="28"/>
    </row>
    <row r="15" spans="1:8" x14ac:dyDescent="0.25">
      <c r="A15" t="s">
        <v>1</v>
      </c>
      <c r="B15" s="25" t="str">
        <f>'RJ Kelly- in house'!B13:H13</f>
        <v xml:space="preserve">Engineer OT for Exterior Signage Removal </v>
      </c>
      <c r="C15" s="25"/>
      <c r="D15" s="25"/>
      <c r="E15" s="25"/>
      <c r="F15" s="25"/>
      <c r="G15" s="25"/>
      <c r="H15" s="25"/>
    </row>
    <row r="18" spans="1:9" x14ac:dyDescent="0.25">
      <c r="A18" s="2"/>
      <c r="B18" s="9"/>
      <c r="C18" s="9"/>
      <c r="D18" s="9"/>
      <c r="E18" s="9"/>
      <c r="F18" s="11"/>
      <c r="G18" s="10"/>
    </row>
    <row r="19" spans="1:9" x14ac:dyDescent="0.25">
      <c r="A19" s="2"/>
      <c r="B19" s="9"/>
      <c r="C19" s="9"/>
      <c r="D19" s="9"/>
      <c r="E19" s="9"/>
      <c r="F19" s="11"/>
      <c r="G19" s="10"/>
    </row>
    <row r="20" spans="1:9" ht="50.25" customHeight="1" x14ac:dyDescent="0.25">
      <c r="A20" s="24" t="s">
        <v>29</v>
      </c>
      <c r="B20" s="28"/>
      <c r="C20" s="28"/>
      <c r="D20" s="28"/>
      <c r="E20" s="28"/>
      <c r="F20" s="23" t="s">
        <v>12</v>
      </c>
      <c r="G20" s="29">
        <f>'RJ Kelly- in house'!G27</f>
        <v>888</v>
      </c>
      <c r="H20" s="30"/>
    </row>
    <row r="21" spans="1:9" x14ac:dyDescent="0.25">
      <c r="A21" s="2"/>
      <c r="B21" s="2"/>
      <c r="C21" s="2"/>
      <c r="D21" s="2"/>
      <c r="E21" s="2"/>
      <c r="F21" s="11"/>
      <c r="G21" s="14"/>
    </row>
    <row r="22" spans="1:9" x14ac:dyDescent="0.25">
      <c r="A22" s="2"/>
      <c r="B22" s="9"/>
      <c r="C22" s="12"/>
      <c r="D22" s="4"/>
      <c r="E22" s="9"/>
      <c r="F22" s="11"/>
      <c r="G22" s="14"/>
    </row>
    <row r="23" spans="1:9" x14ac:dyDescent="0.25">
      <c r="A23" s="2"/>
      <c r="B23" s="2"/>
      <c r="C23" s="2"/>
      <c r="D23" s="2"/>
      <c r="E23" s="2"/>
      <c r="F23" s="11"/>
      <c r="G23" s="14"/>
    </row>
    <row r="24" spans="1:9" x14ac:dyDescent="0.25">
      <c r="A24" s="2"/>
      <c r="B24" s="2"/>
      <c r="C24" s="2"/>
      <c r="D24" s="2"/>
      <c r="E24" s="2"/>
      <c r="F24" s="11"/>
      <c r="G24" s="14"/>
    </row>
    <row r="25" spans="1:9" x14ac:dyDescent="0.25">
      <c r="A25" s="2"/>
      <c r="B25" s="9"/>
      <c r="C25" s="9"/>
      <c r="D25" s="9"/>
      <c r="E25" s="9"/>
      <c r="F25" s="11"/>
      <c r="G25" s="14"/>
    </row>
    <row r="26" spans="1:9" ht="29.25" customHeight="1" x14ac:dyDescent="0.25">
      <c r="A26" s="31" t="s">
        <v>23</v>
      </c>
      <c r="B26" s="31"/>
      <c r="C26" s="31"/>
      <c r="D26" s="31"/>
      <c r="E26" s="31"/>
      <c r="F26" s="31"/>
      <c r="G26" s="31"/>
      <c r="H26" s="31"/>
    </row>
    <row r="27" spans="1:9" ht="29.25" customHeight="1" x14ac:dyDescent="0.25">
      <c r="A27" s="19"/>
      <c r="B27" s="19"/>
      <c r="C27" s="19"/>
      <c r="D27" s="19"/>
      <c r="E27" s="19"/>
      <c r="F27" s="19"/>
      <c r="G27" s="19"/>
      <c r="H27" s="19"/>
    </row>
    <row r="28" spans="1:9" ht="29.25" customHeight="1" x14ac:dyDescent="0.25">
      <c r="A28" s="19"/>
      <c r="B28" s="19"/>
      <c r="C28" s="19"/>
      <c r="D28" s="19"/>
      <c r="E28" s="19"/>
      <c r="F28" s="19"/>
      <c r="G28" s="19"/>
      <c r="H28" s="19"/>
    </row>
    <row r="29" spans="1:9" x14ac:dyDescent="0.25">
      <c r="B29" s="6"/>
      <c r="C29" s="3"/>
      <c r="F29" s="5"/>
      <c r="G29" s="14"/>
    </row>
    <row r="30" spans="1:9" x14ac:dyDescent="0.25">
      <c r="B30" s="6"/>
      <c r="C30" s="3"/>
      <c r="F30" s="5"/>
      <c r="G30" s="14"/>
    </row>
    <row r="31" spans="1:9" x14ac:dyDescent="0.25">
      <c r="C31" s="20" t="s">
        <v>24</v>
      </c>
      <c r="F31" s="22" t="s">
        <v>28</v>
      </c>
      <c r="G31" s="22"/>
      <c r="H31" s="22"/>
      <c r="I31" s="22"/>
    </row>
    <row r="32" spans="1:9" x14ac:dyDescent="0.25">
      <c r="C32" s="20" t="s">
        <v>25</v>
      </c>
      <c r="D32" s="20"/>
      <c r="E32" s="20"/>
      <c r="F32" s="22" t="s">
        <v>26</v>
      </c>
      <c r="G32" s="22"/>
      <c r="H32" s="22"/>
      <c r="I32" s="22"/>
    </row>
    <row r="33" spans="3:9" x14ac:dyDescent="0.25">
      <c r="D33" s="20"/>
      <c r="E33" s="20"/>
      <c r="F33" s="32" t="s">
        <v>27</v>
      </c>
      <c r="G33" s="32"/>
      <c r="H33" s="32"/>
      <c r="I33" s="32"/>
    </row>
    <row r="34" spans="3:9" x14ac:dyDescent="0.25">
      <c r="C34" s="20"/>
      <c r="D34" s="21"/>
      <c r="E34" s="20"/>
    </row>
  </sheetData>
  <mergeCells count="10">
    <mergeCell ref="G2:H2"/>
    <mergeCell ref="A7:D7"/>
    <mergeCell ref="A8:D8"/>
    <mergeCell ref="A9:D9"/>
    <mergeCell ref="A10:D10"/>
    <mergeCell ref="A20:E20"/>
    <mergeCell ref="G20:H20"/>
    <mergeCell ref="A26:H26"/>
    <mergeCell ref="F33:I33"/>
    <mergeCell ref="B15:H15"/>
  </mergeCells>
  <pageMargins left="0.7" right="0.7" top="0.75" bottom="0.75" header="0.3" footer="0.3"/>
  <pageSetup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RJ Kelly- in house</vt:lpstr>
      <vt:lpstr>Tenant COPY</vt:lpstr>
      <vt:lpstr>'RJ Kelly- in house'!Print_Area</vt:lpstr>
      <vt:lpstr>'Tenant COPY'!Print_Area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Fazio</dc:creator>
  <cp:lastModifiedBy>Jessica Utter</cp:lastModifiedBy>
  <cp:lastPrinted>2016-04-15T18:37:58Z</cp:lastPrinted>
  <dcterms:created xsi:type="dcterms:W3CDTF">2015-04-16T19:40:08Z</dcterms:created>
  <dcterms:modified xsi:type="dcterms:W3CDTF">2025-04-30T13:21:36Z</dcterms:modified>
</cp:coreProperties>
</file>