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tables/table2.xml" ContentType="application/vnd.openxmlformats-officedocument.spreadsheetml.table+xml"/>
  <Override PartName="/xl/drawings/drawing6.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P:\Accounting\MM Projects\__CONST_TRACKING\"/>
    </mc:Choice>
  </mc:AlternateContent>
  <xr:revisionPtr revIDLastSave="0" documentId="13_ncr:1_{BFF57163-2603-4281-90BF-87377B32110A}" xr6:coauthVersionLast="47" xr6:coauthVersionMax="47" xr10:uidLastSave="{00000000-0000-0000-0000-000000000000}"/>
  <bookViews>
    <workbookView xWindow="-7884" yWindow="-13068" windowWidth="23256" windowHeight="12456" xr2:uid="{00000000-000D-0000-FFFF-FFFF00000000}"/>
  </bookViews>
  <sheets>
    <sheet name="llm_README" sheetId="1" r:id="rId1"/>
    <sheet name="README_Instructions" sheetId="2" r:id="rId2"/>
    <sheet name="00_JobSetup" sheetId="3" r:id="rId3"/>
    <sheet name="01_ForecastLog" sheetId="4" r:id="rId4"/>
    <sheet name="04_VendorDetail" sheetId="5" r:id="rId5"/>
    <sheet name="02_BudgetLog" sheetId="6" r:id="rId6"/>
    <sheet name="03_BudgetReport" sheetId="7" r:id="rId7"/>
    <sheet name="zz_data" sheetId="8" r:id="rId8"/>
    <sheet name="ErrorLog" sheetId="9" state="veryHidden" r:id="rId9"/>
    <sheet name="zzz_yardi import" sheetId="10" r:id="rId10"/>
    <sheet name="TENANT_ESTIMATE" sheetId="11" r:id="rId11"/>
    <sheet name="PAY_APP" sheetId="12" r:id="rId12"/>
  </sheets>
  <definedNames>
    <definedName name="\">{#N/A,#N/A,TRUE,"Cap Budget";#N/A,#N/A,TRUE,"Sources &amp; Uses";#N/A,#N/A,TRUE,"All Closing Disbursements";#N/A,#N/A,TRUE,"Title Co Instructions";#N/A,#N/A,TRUE,"Title Co  - Tranche A";#N/A,#N/A,TRUE,"Title Co - Tranche B";#N/A,#N/A,TRUE,"Lender Summary";#N/A,#N/A,TRUE,"Lender Summary- Tranche A";#N/A,#N/A,TRUE,"Lender - Tranche B";#N/A,#N/A,TRUE,"Closing Prorations";#N/A,#N/A,TRUE,"JV &amp; PWREF Wire Transfers";#N/A,#N/A,TRUE,"Cost Aggregation";#N/A,#N/A,TRUE,"Escrow Accounts";#N/A,#N/A,TRUE,"Inputs"}</definedName>
    <definedName name="\0">#REF!</definedName>
    <definedName name="\A">#REF!</definedName>
    <definedName name="\asdf">#REF!</definedName>
    <definedName name="\B">#REF!</definedName>
    <definedName name="\C">#REF!</definedName>
    <definedName name="\d">#REF!</definedName>
    <definedName name="\E">#REF!</definedName>
    <definedName name="\F">#REF!</definedName>
    <definedName name="\Fa">#REF!</definedName>
    <definedName name="\G">#REF!</definedName>
    <definedName name="\H">#REF!</definedName>
    <definedName name="\I">#REF!</definedName>
    <definedName name="\K">#REF!</definedName>
    <definedName name="\l">#REF!</definedName>
    <definedName name="\M">#REF!</definedName>
    <definedName name="\n">#REF!</definedName>
    <definedName name="\P">#REF!</definedName>
    <definedName name="\Q">#REF!</definedName>
    <definedName name="\R">#REF!</definedName>
    <definedName name="\S">#REF!</definedName>
    <definedName name="\T">#REF!</definedName>
    <definedName name="\U">#REF!</definedName>
    <definedName name="\V">#REF!</definedName>
    <definedName name="\W">#REF!</definedName>
    <definedName name="\X">#REF!</definedName>
    <definedName name="\Y">#REF!</definedName>
    <definedName name="\Z">#REF!</definedName>
    <definedName name="_">#REF!</definedName>
    <definedName name="__________cmp1">#REF!</definedName>
    <definedName name="__________glf1">#REF!</definedName>
    <definedName name="__________hrh1">#REF!</definedName>
    <definedName name="__________hrm1">#REF!</definedName>
    <definedName name="__________kit61">#REF!</definedName>
    <definedName name="__________lbh1">#REF!</definedName>
    <definedName name="__________lbm1">#REF!</definedName>
    <definedName name="__________pkh1">#REF!</definedName>
    <definedName name="__________pkm1">#REF!</definedName>
    <definedName name="__________rsh1">#REF!</definedName>
    <definedName name="__________rsm1">#REF!</definedName>
    <definedName name="__________rst1">#REF!</definedName>
    <definedName name="__________rst2">#REF!</definedName>
    <definedName name="__________rst3">#REF!</definedName>
    <definedName name="__________rst4">#REF!</definedName>
    <definedName name="__________rt1">#REF!</definedName>
    <definedName name="__________rt2">#REF!</definedName>
    <definedName name="__________rt3">#REF!</definedName>
    <definedName name="__________rt4">#REF!</definedName>
    <definedName name="__________rtm4">#REF!</definedName>
    <definedName name="__________sph1">#REF!</definedName>
    <definedName name="__________spm1">#REF!</definedName>
    <definedName name="__________tnh1">#REF!</definedName>
    <definedName name="__________tnm1">#REF!</definedName>
    <definedName name="_________key1">#REF!</definedName>
    <definedName name="_________key2">#REF!</definedName>
    <definedName name="________agc2">#REF!</definedName>
    <definedName name="________agc3">#REF!</definedName>
    <definedName name="________jo2">{#N/A,#N/A,FALSE,"DCF-COM";#N/A,#N/A,FALSE,"VAC-COM"}</definedName>
    <definedName name="________jo3">{"CASHFLOW",#N/A,FALSE,"Northpointe"}</definedName>
    <definedName name="________jo4">{#N/A,#N/A,FALSE,"SHEET1";#N/A,#N/A,FALSE,"SHEET2";#N/A,#N/A,FALSE,"SHEET3";#N/A,#N/A,FALSE,"SHEET4"}</definedName>
    <definedName name="________key1">#REF!</definedName>
    <definedName name="________key2">#REF!</definedName>
    <definedName name="________Row1">#REF!</definedName>
    <definedName name="________Row2">#REF!</definedName>
    <definedName name="________Row3">#REF!</definedName>
    <definedName name="________Row4">#REF!</definedName>
    <definedName name="________Row5">#REF!</definedName>
    <definedName name="________Row6">#REF!</definedName>
    <definedName name="________Row7">#REF!</definedName>
    <definedName name="________Row8">#REF!</definedName>
    <definedName name="_______a1">{"Assump",#N/A,TRUE,"Proforma";"first",#N/A,TRUE,"Proforma";"second",#N/A,TRUE,"Proforma";"lease1",#N/A,TRUE,"Proforma";"lease2",#N/A,TRUE,"Proforma"}</definedName>
    <definedName name="_______agc2">#REF!</definedName>
    <definedName name="_______agc3">#REF!</definedName>
    <definedName name="_______key1">#REF!</definedName>
    <definedName name="_______key2">#REF!</definedName>
    <definedName name="_______Row1">#REF!</definedName>
    <definedName name="_______Row2">#REF!</definedName>
    <definedName name="_______Row3">#REF!</definedName>
    <definedName name="_______Row4">#REF!</definedName>
    <definedName name="_______Row5">#REF!</definedName>
    <definedName name="_______Row6">#REF!</definedName>
    <definedName name="_______Row7">#REF!</definedName>
    <definedName name="_______Row8">#REF!</definedName>
    <definedName name="______a1">{"Assump",#N/A,TRUE,"Proforma";"first",#N/A,TRUE,"Proforma";"second",#N/A,TRUE,"Proforma";"lease1",#N/A,TRUE,"Proforma";"lease2",#N/A,TRUE,"Proforma"}</definedName>
    <definedName name="______agc2">#REF!</definedName>
    <definedName name="______agc3">#REF!</definedName>
    <definedName name="______Amo1">#REF!</definedName>
    <definedName name="______Amo2">#REF!</definedName>
    <definedName name="______Row1">#REF!</definedName>
    <definedName name="______Row2">#REF!</definedName>
    <definedName name="______Row3">#REF!</definedName>
    <definedName name="______Row4">#REF!</definedName>
    <definedName name="______Row5">#REF!</definedName>
    <definedName name="______Row6">#REF!</definedName>
    <definedName name="______Row7">#REF!</definedName>
    <definedName name="______Row8">#REF!</definedName>
    <definedName name="_____a1">{"Assump",#N/A,TRUE,"Proforma";"first",#N/A,TRUE,"Proforma";"second",#N/A,TRUE,"Proforma";"lease1",#N/A,TRUE,"Proforma";"lease2",#N/A,TRUE,"Proforma"}</definedName>
    <definedName name="_____agc2">#REF!</definedName>
    <definedName name="_____agc3">#REF!</definedName>
    <definedName name="_____al1">{"sheet a",#N/A,FALSE,"A";"sheet b 1",#N/A,FALSE,"B";"sheet b 2",#N/A,FALSE,"B"}</definedName>
    <definedName name="_____key1">#REF!</definedName>
    <definedName name="_____key2">#REF!</definedName>
    <definedName name="_____Row1">#REF!</definedName>
    <definedName name="_____Row2">#REF!</definedName>
    <definedName name="_____Row3">#REF!</definedName>
    <definedName name="_____Row4">#REF!</definedName>
    <definedName name="_____Row5">#REF!</definedName>
    <definedName name="_____Row6">#REF!</definedName>
    <definedName name="_____Row7">#REF!</definedName>
    <definedName name="_____Row8">#REF!</definedName>
    <definedName name="____a1">{"Assump",#N/A,TRUE,"Proforma";"first",#N/A,TRUE,"Proforma";"second",#N/A,TRUE,"Proforma";"lease1",#N/A,TRUE,"Proforma";"lease2",#N/A,TRUE,"Proforma"}</definedName>
    <definedName name="____agc2">#REF!</definedName>
    <definedName name="____agc3">#REF!</definedName>
    <definedName name="____al1">{"sheet a",#N/A,FALSE,"A";"sheet b 1",#N/A,FALSE,"B";"sheet b 2",#N/A,FALSE,"B"}</definedName>
    <definedName name="____ASS2">#REF!</definedName>
    <definedName name="____C">#REF!</definedName>
    <definedName name="____con1">#REF!</definedName>
    <definedName name="____con10">#REF!</definedName>
    <definedName name="____con2">#REF!</definedName>
    <definedName name="____con3">#REF!</definedName>
    <definedName name="____con4">#REF!</definedName>
    <definedName name="____con5">#REF!</definedName>
    <definedName name="____con6">#REF!</definedName>
    <definedName name="____con7">#REF!</definedName>
    <definedName name="____con8">#REF!</definedName>
    <definedName name="____con9">#REF!</definedName>
    <definedName name="____dec02">#REF!</definedName>
    <definedName name="____irr1">#REF!</definedName>
    <definedName name="____jo1" localSheetId="4">print_consol</definedName>
    <definedName name="____jo1">print_consol</definedName>
    <definedName name="____jo2">{#N/A,#N/A,FALSE,"DCF-COM";#N/A,#N/A,FALSE,"VAC-COM"}</definedName>
    <definedName name="____jo3">{"CASHFLOW",#N/A,FALSE,"Northpointe"}</definedName>
    <definedName name="____jo4">{#N/A,#N/A,FALSE,"SHEET1";#N/A,#N/A,FALSE,"SHEET2";#N/A,#N/A,FALSE,"SHEET3";#N/A,#N/A,FALSE,"SHEET4"}</definedName>
    <definedName name="____key1">#REF!</definedName>
    <definedName name="____key2">#REF!</definedName>
    <definedName name="____new2">{"'B-2 QSER Jun 98 4-27-98 cor'!$A$1:$F$57"}</definedName>
    <definedName name="____new5">{"'B-2 QSER Jun 98 4-27-98 cor'!$A$1:$F$57"}</definedName>
    <definedName name="____PER1">#REF!</definedName>
    <definedName name="____pr3">#REF!</definedName>
    <definedName name="____pr4">#REF!</definedName>
    <definedName name="____prt3">#REF!</definedName>
    <definedName name="____R">#REF!</definedName>
    <definedName name="____Row1">#REF!</definedName>
    <definedName name="____Row2">#REF!</definedName>
    <definedName name="____Row3">#REF!</definedName>
    <definedName name="____Row4">#REF!</definedName>
    <definedName name="____Row5">#REF!</definedName>
    <definedName name="____Row6">#REF!</definedName>
    <definedName name="____Row7">#REF!</definedName>
    <definedName name="____Row8">#REF!</definedName>
    <definedName name="____Tax01">#REF!</definedName>
    <definedName name="____tax02">#REF!</definedName>
    <definedName name="____Tax97">#REF!</definedName>
    <definedName name="____Tax98">#REF!</definedName>
    <definedName name="____Tax99">#REF!</definedName>
    <definedName name="____tit2">#REF!</definedName>
    <definedName name="___a1">{"Assump",#N/A,TRUE,"Proforma";"first",#N/A,TRUE,"Proforma";"second",#N/A,TRUE,"Proforma";"lease1",#N/A,TRUE,"Proforma";"lease2",#N/A,TRUE,"Proforma"}</definedName>
    <definedName name="___ACT2003">#REF!</definedName>
    <definedName name="___ACT2004">#REF!</definedName>
    <definedName name="___ACT2005">#REF!</definedName>
    <definedName name="___agc2">#REF!</definedName>
    <definedName name="___agc3">#REF!</definedName>
    <definedName name="___al1">{"sheet a",#N/A,FALSE,"A";"sheet b 1",#N/A,FALSE,"B";"sheet b 2",#N/A,FALSE,"B"}</definedName>
    <definedName name="___ALL1">#REF!</definedName>
    <definedName name="___ALL2">#REF!</definedName>
    <definedName name="___ALL3">#REF!</definedName>
    <definedName name="___ALL4">#REF!</definedName>
    <definedName name="___ALL5">#REF!</definedName>
    <definedName name="___Amo1">#REF!</definedName>
    <definedName name="___Amo2">#REF!</definedName>
    <definedName name="___APR01">#REF!</definedName>
    <definedName name="___APR02">#REF!</definedName>
    <definedName name="___APR03">#REF!</definedName>
    <definedName name="___APR04">#REF!</definedName>
    <definedName name="___APR05">#REF!</definedName>
    <definedName name="___APR06">#REF!</definedName>
    <definedName name="___APR07">#REF!</definedName>
    <definedName name="___APR08">#REF!</definedName>
    <definedName name="___APR09">#REF!</definedName>
    <definedName name="___APR10">#REF!</definedName>
    <definedName name="___APR11">#REF!</definedName>
    <definedName name="___APR12">#REF!</definedName>
    <definedName name="___APR94">#REF!</definedName>
    <definedName name="___APR95">#REF!</definedName>
    <definedName name="___APR96">#REF!</definedName>
    <definedName name="___APR97">#REF!</definedName>
    <definedName name="___APR98">#REF!</definedName>
    <definedName name="___APR99">#REF!</definedName>
    <definedName name="___ASS2">#REF!</definedName>
    <definedName name="___AUG01">#REF!</definedName>
    <definedName name="___AUG02">#REF!</definedName>
    <definedName name="___AUG03">#REF!</definedName>
    <definedName name="___AUG04">#REF!</definedName>
    <definedName name="___AUG05">#REF!</definedName>
    <definedName name="___AUG06">#REF!</definedName>
    <definedName name="___AUG07">#REF!</definedName>
    <definedName name="___AUG08">#REF!</definedName>
    <definedName name="___AUG09">#REF!</definedName>
    <definedName name="___AUG10">#REF!</definedName>
    <definedName name="___AUG11">#REF!</definedName>
    <definedName name="___AUG93">#REF!</definedName>
    <definedName name="___AUG94">#REF!</definedName>
    <definedName name="___AUG95">#REF!</definedName>
    <definedName name="___AUG96">#REF!</definedName>
    <definedName name="___AUG97">#REF!</definedName>
    <definedName name="___AUG98">#REF!</definedName>
    <definedName name="___AUG99">#REF!</definedName>
    <definedName name="___BUD2003">#REF!</definedName>
    <definedName name="___BUD2004">#REF!</definedName>
    <definedName name="___BUD2005">#REF!</definedName>
    <definedName name="___C">#REF!</definedName>
    <definedName name="___cmp1">#REF!</definedName>
    <definedName name="___con1">#REF!</definedName>
    <definedName name="___con10">#REF!</definedName>
    <definedName name="___con2">#REF!</definedName>
    <definedName name="___con3">#REF!</definedName>
    <definedName name="___con4">#REF!</definedName>
    <definedName name="___con5">#REF!</definedName>
    <definedName name="___con6">#REF!</definedName>
    <definedName name="___con7">#REF!</definedName>
    <definedName name="___con8">#REF!</definedName>
    <definedName name="___con9">#REF!</definedName>
    <definedName name="___DEC01">#REF!</definedName>
    <definedName name="___dec02">#REF!</definedName>
    <definedName name="___DEC03">#REF!</definedName>
    <definedName name="___DEC04">#REF!</definedName>
    <definedName name="___DEC05">#REF!</definedName>
    <definedName name="___DEC06">#REF!</definedName>
    <definedName name="___DEC07">#REF!</definedName>
    <definedName name="___DEC08">#REF!</definedName>
    <definedName name="___DEC09">#REF!</definedName>
    <definedName name="___DEC10">#REF!</definedName>
    <definedName name="___DEC11">#REF!</definedName>
    <definedName name="___DEC93">#REF!</definedName>
    <definedName name="___DEC94">#REF!</definedName>
    <definedName name="___DEC95">#REF!</definedName>
    <definedName name="___DEC96">#REF!</definedName>
    <definedName name="___DEC97">#REF!</definedName>
    <definedName name="___DEC98">#REF!</definedName>
    <definedName name="___DEC99">#REF!</definedName>
    <definedName name="___FEB01">#REF!</definedName>
    <definedName name="___FEB02">#REF!</definedName>
    <definedName name="___FEB03">#REF!</definedName>
    <definedName name="___FEB04">#REF!</definedName>
    <definedName name="___FEB05">#REF!</definedName>
    <definedName name="___FEB06">#REF!</definedName>
    <definedName name="___FEB07">#REF!</definedName>
    <definedName name="___FEB08">#REF!</definedName>
    <definedName name="___FEB09">#REF!</definedName>
    <definedName name="___FEB10">#REF!</definedName>
    <definedName name="___FEB11">#REF!</definedName>
    <definedName name="___FEB12">#REF!</definedName>
    <definedName name="___FEB94">#REF!</definedName>
    <definedName name="___FEB95">#REF!</definedName>
    <definedName name="___FEB96">#REF!</definedName>
    <definedName name="___FEB97">#REF!</definedName>
    <definedName name="___FEB98">#REF!</definedName>
    <definedName name="___FEB99">#REF!</definedName>
    <definedName name="___glf1">#REF!</definedName>
    <definedName name="___hrh1">#REF!</definedName>
    <definedName name="___hrm1">#REF!</definedName>
    <definedName name="___INT1">#REF!</definedName>
    <definedName name="___INT2">#REF!</definedName>
    <definedName name="___INT3">#REF!</definedName>
    <definedName name="___INT4">#REF!</definedName>
    <definedName name="___irr1">#REF!</definedName>
    <definedName name="___JAN01">#REF!</definedName>
    <definedName name="___JAN02">#REF!</definedName>
    <definedName name="___JAN03">#REF!</definedName>
    <definedName name="___JAN04">#REF!</definedName>
    <definedName name="___JAN05">#REF!</definedName>
    <definedName name="___JAN06">#REF!</definedName>
    <definedName name="___JAN07">#REF!</definedName>
    <definedName name="___JAN08">#REF!</definedName>
    <definedName name="___JAN09">#REF!</definedName>
    <definedName name="___JAN10">#REF!</definedName>
    <definedName name="___JAN11">#REF!</definedName>
    <definedName name="___JAN12">#REF!</definedName>
    <definedName name="___JAN94">#REF!</definedName>
    <definedName name="___JAN95">#REF!</definedName>
    <definedName name="___JAN96">#REF!</definedName>
    <definedName name="___JAN97">#REF!</definedName>
    <definedName name="___JAN98">#REF!</definedName>
    <definedName name="___JAN99">#REF!</definedName>
    <definedName name="___jo1" localSheetId="4">print_consol</definedName>
    <definedName name="___jo1">print_consol</definedName>
    <definedName name="___jo2">{#N/A,#N/A,FALSE,"DCF-COM";#N/A,#N/A,FALSE,"VAC-COM"}</definedName>
    <definedName name="___jo3">{"CASHFLOW",#N/A,FALSE,"Northpointe"}</definedName>
    <definedName name="___jo4">{#N/A,#N/A,FALSE,"SHEET1";#N/A,#N/A,FALSE,"SHEET2";#N/A,#N/A,FALSE,"SHEET3";#N/A,#N/A,FALSE,"SHEET4"}</definedName>
    <definedName name="___JUL01">#REF!</definedName>
    <definedName name="___JUL02">#REF!</definedName>
    <definedName name="___JUL03">#REF!</definedName>
    <definedName name="___JUL04">#REF!</definedName>
    <definedName name="___JUL05">#REF!</definedName>
    <definedName name="___JUL06">#REF!</definedName>
    <definedName name="___JUL07">#REF!</definedName>
    <definedName name="___JUL08">#REF!</definedName>
    <definedName name="___JUL09">#REF!</definedName>
    <definedName name="___JUL10">#REF!</definedName>
    <definedName name="___JUL11">#REF!</definedName>
    <definedName name="___JUL94">#REF!</definedName>
    <definedName name="___JUL95">#REF!</definedName>
    <definedName name="___JUL96">#REF!</definedName>
    <definedName name="___JUL97">#REF!</definedName>
    <definedName name="___JUL98">#REF!</definedName>
    <definedName name="___JUL99">#REF!</definedName>
    <definedName name="___JUN01">#REF!</definedName>
    <definedName name="___JUN02">#REF!</definedName>
    <definedName name="___JUN03">#REF!</definedName>
    <definedName name="___JUN04">#REF!</definedName>
    <definedName name="___JUN05">#REF!</definedName>
    <definedName name="___JUN06">#REF!</definedName>
    <definedName name="___JUN07">#REF!</definedName>
    <definedName name="___JUN08">#REF!</definedName>
    <definedName name="___JUN09">#REF!</definedName>
    <definedName name="___JUN10">#REF!</definedName>
    <definedName name="___JUN11">#REF!</definedName>
    <definedName name="___JUN12">#REF!</definedName>
    <definedName name="___JUN94">#REF!</definedName>
    <definedName name="___JUN95">#REF!</definedName>
    <definedName name="___JUN96">#REF!</definedName>
    <definedName name="___JUN97">#REF!</definedName>
    <definedName name="___JUN98">#REF!</definedName>
    <definedName name="___JUN99">#REF!</definedName>
    <definedName name="___key1">#REF!</definedName>
    <definedName name="___key2">#REF!</definedName>
    <definedName name="___kit61">#REF!</definedName>
    <definedName name="___lbh1">#REF!</definedName>
    <definedName name="___lbm1">#REF!</definedName>
    <definedName name="___LTV1">#REF!</definedName>
    <definedName name="___LTV2">#REF!</definedName>
    <definedName name="___MAR01">#REF!</definedName>
    <definedName name="___MAR02">#REF!</definedName>
    <definedName name="___MAR03">#REF!</definedName>
    <definedName name="___MAR04">#REF!</definedName>
    <definedName name="___MAR05">#REF!</definedName>
    <definedName name="___MAR06">#REF!</definedName>
    <definedName name="___MAR07">#REF!</definedName>
    <definedName name="___MAR08">#REF!</definedName>
    <definedName name="___MAR09">#REF!</definedName>
    <definedName name="___MAR10">#REF!</definedName>
    <definedName name="___MAR11">#REF!</definedName>
    <definedName name="___MAR12">#REF!</definedName>
    <definedName name="___MAR94">#REF!</definedName>
    <definedName name="___MAR95">#REF!</definedName>
    <definedName name="___MAR96">#REF!</definedName>
    <definedName name="___MAR97">#REF!</definedName>
    <definedName name="___MAR98">#REF!</definedName>
    <definedName name="___MAR99">#REF!</definedName>
    <definedName name="___MAY01">#REF!</definedName>
    <definedName name="___MAY02">#REF!</definedName>
    <definedName name="___MAY03">#REF!</definedName>
    <definedName name="___MAY04">#REF!</definedName>
    <definedName name="___MAY05">#REF!</definedName>
    <definedName name="___MAY06">#REF!</definedName>
    <definedName name="___MAY07">#REF!</definedName>
    <definedName name="___MAY08">#REF!</definedName>
    <definedName name="___MAY09">#REF!</definedName>
    <definedName name="___MAY10">#REF!</definedName>
    <definedName name="___MAY11">#REF!</definedName>
    <definedName name="___MAY12">#REF!</definedName>
    <definedName name="___MAY94">#REF!</definedName>
    <definedName name="___MAY95">#REF!</definedName>
    <definedName name="___MAY96">#REF!</definedName>
    <definedName name="___MAY97">#REF!</definedName>
    <definedName name="___MAY98">#REF!</definedName>
    <definedName name="___MAY99">#REF!</definedName>
    <definedName name="___NOV01">#REF!</definedName>
    <definedName name="___NOV02">#REF!</definedName>
    <definedName name="___NOV03">#REF!</definedName>
    <definedName name="___NOV04">#REF!</definedName>
    <definedName name="___NOV05">#REF!</definedName>
    <definedName name="___NOV06">#REF!</definedName>
    <definedName name="___NOV07">#REF!</definedName>
    <definedName name="___NOV08">#REF!</definedName>
    <definedName name="___NOV09">#REF!</definedName>
    <definedName name="___NOV10">#REF!</definedName>
    <definedName name="___NOV11">#REF!</definedName>
    <definedName name="___NOV93">#REF!</definedName>
    <definedName name="___NOV94">#REF!</definedName>
    <definedName name="___NOV95">#REF!</definedName>
    <definedName name="___NOV96">#REF!</definedName>
    <definedName name="___NOV97">#REF!</definedName>
    <definedName name="___NOV98">#REF!</definedName>
    <definedName name="___NOV99">#REF!</definedName>
    <definedName name="___OCT01">#REF!</definedName>
    <definedName name="___OCT02">#REF!</definedName>
    <definedName name="___OCT03">#REF!</definedName>
    <definedName name="___OCT04">#REF!</definedName>
    <definedName name="___OCT05">#REF!</definedName>
    <definedName name="___OCT06">#REF!</definedName>
    <definedName name="___OCT07">#REF!</definedName>
    <definedName name="___OCT08">#REF!</definedName>
    <definedName name="___OCT09">#REF!</definedName>
    <definedName name="___OCT10">#REF!</definedName>
    <definedName name="___OCT11">#REF!</definedName>
    <definedName name="___OCT93">#REF!</definedName>
    <definedName name="___OCT94">#REF!</definedName>
    <definedName name="___OCT95">#REF!</definedName>
    <definedName name="___OCT96">#REF!</definedName>
    <definedName name="___OCT97">#REF!</definedName>
    <definedName name="___OCT98">#REF!</definedName>
    <definedName name="___OCT99">#REF!</definedName>
    <definedName name="___pkh1">#REF!</definedName>
    <definedName name="___pkm1">#REF!</definedName>
    <definedName name="___pr3">#REF!</definedName>
    <definedName name="___pr4">#REF!</definedName>
    <definedName name="___prt3">#REF!</definedName>
    <definedName name="___R">#REF!</definedName>
    <definedName name="___Row1">#REF!</definedName>
    <definedName name="___Row2">#REF!</definedName>
    <definedName name="___Row3">#REF!</definedName>
    <definedName name="___Row4">#REF!</definedName>
    <definedName name="___Row5">#REF!</definedName>
    <definedName name="___Row6">#REF!</definedName>
    <definedName name="___Row7">#REF!</definedName>
    <definedName name="___Row8">#REF!</definedName>
    <definedName name="___rsh1">#REF!</definedName>
    <definedName name="___rsm1">#REF!</definedName>
    <definedName name="___rst1">#REF!</definedName>
    <definedName name="___rst2">#REF!</definedName>
    <definedName name="___rst3">#REF!</definedName>
    <definedName name="___rst4">#REF!</definedName>
    <definedName name="___rt1">#REF!</definedName>
    <definedName name="___rt2">#REF!</definedName>
    <definedName name="___rt3">#REF!</definedName>
    <definedName name="___rt4">#REF!</definedName>
    <definedName name="___rtm4">#REF!</definedName>
    <definedName name="___SEP01">#REF!</definedName>
    <definedName name="___SEP02">#REF!</definedName>
    <definedName name="___SEP03">#REF!</definedName>
    <definedName name="___SEP04">#REF!</definedName>
    <definedName name="___SEP05">#REF!</definedName>
    <definedName name="___SEP06">#REF!</definedName>
    <definedName name="___SEP07">#REF!</definedName>
    <definedName name="___SEP08">#REF!</definedName>
    <definedName name="___SEP09">#REF!</definedName>
    <definedName name="___SEP10">#REF!</definedName>
    <definedName name="___SEP11">#REF!</definedName>
    <definedName name="___SEP93">#REF!</definedName>
    <definedName name="___SEP94">#REF!</definedName>
    <definedName name="___SEP95">#REF!</definedName>
    <definedName name="___SEP96">#REF!</definedName>
    <definedName name="___SEP97">#REF!</definedName>
    <definedName name="___SEP98">#REF!</definedName>
    <definedName name="___SEP99">#REF!</definedName>
    <definedName name="___SK1">#REF!</definedName>
    <definedName name="___sph1">#REF!</definedName>
    <definedName name="___spm1">#REF!</definedName>
    <definedName name="___Tax01">#REF!</definedName>
    <definedName name="___tax02">#REF!</definedName>
    <definedName name="___Tax97">#REF!</definedName>
    <definedName name="___Tax98">#REF!</definedName>
    <definedName name="___Tax99">#REF!</definedName>
    <definedName name="___tit2">#REF!</definedName>
    <definedName name="___tnh1">#REF!</definedName>
    <definedName name="___tnm1">#REF!</definedName>
    <definedName name="__10__123Graph_BCHART_5">#REF!</definedName>
    <definedName name="__11__123Graph_BCHART_6">#REF!</definedName>
    <definedName name="__12__123Graph_BCHART_7">#REF!</definedName>
    <definedName name="__123Graph_A">#REF!</definedName>
    <definedName name="__123Graph_ACONC">#REF!</definedName>
    <definedName name="__123Graph_AGRAPH1">#REF!</definedName>
    <definedName name="__123Graph_AOAR">#REF!</definedName>
    <definedName name="__123Graph_B">#REF!</definedName>
    <definedName name="__123Graph_C">#REF!</definedName>
    <definedName name="__123Graph_D">#REF!</definedName>
    <definedName name="__123Graph_E">#REF!</definedName>
    <definedName name="__123Graph_F">#REF!</definedName>
    <definedName name="__123Graph_LBL_A">#REF!</definedName>
    <definedName name="__123Graph_LBL_AMETPLX">#REF!</definedName>
    <definedName name="__123Graph_LBL_ANDALLAS">#REF!</definedName>
    <definedName name="__123Graph_LBL_B">#REF!</definedName>
    <definedName name="__123Graph_LBL_BMETPLX">#REF!</definedName>
    <definedName name="__123Graph_LBL_BNDALLAS">#REF!</definedName>
    <definedName name="__123Graph_LBL_C">#REF!</definedName>
    <definedName name="__123Graph_LBL_CMETPLX">#REF!</definedName>
    <definedName name="__123Graph_LBL_CNDALLAS">#REF!</definedName>
    <definedName name="__123Graph_X">#REF!</definedName>
    <definedName name="__123Graph_XCONC">#REF!</definedName>
    <definedName name="__123Graph_XGRAPH1">#REF!</definedName>
    <definedName name="__123Graph_XOAR">#REF!</definedName>
    <definedName name="__13__123Graph_CCHART_4">#REF!</definedName>
    <definedName name="__14__123Graph_XCHART_5">#REF!</definedName>
    <definedName name="__15__123Graph_XCHART_6">#REF!</definedName>
    <definedName name="__16__123Graph_XCHART_7">#REF!</definedName>
    <definedName name="__1PRINTALL">#REF!</definedName>
    <definedName name="__5__123Graph_ACHART_4">#REF!</definedName>
    <definedName name="__6__123Graph_ACHART_5">#REF!</definedName>
    <definedName name="__7__123Graph_ACHART_6">#REF!</definedName>
    <definedName name="__8__123Graph_ACHART_7">#REF!</definedName>
    <definedName name="__9__123Graph_BCHART_4">#REF!</definedName>
    <definedName name="__a1">{"Assump",#N/A,TRUE,"Proforma";"first",#N/A,TRUE,"Proforma";"second",#N/A,TRUE,"Proforma";"lease1",#N/A,TRUE,"Proforma";"lease2",#N/A,TRUE,"Proforma"}</definedName>
    <definedName name="__agc2">#REF!</definedName>
    <definedName name="__agc3">#REF!</definedName>
    <definedName name="__al1">{"sheet a",#N/A,FALSE,"A";"sheet b 1",#N/A,FALSE,"B";"sheet b 2",#N/A,FALSE,"B"}</definedName>
    <definedName name="__ALL1">#REF!</definedName>
    <definedName name="__ALL2">#REF!</definedName>
    <definedName name="__ALL3">#REF!</definedName>
    <definedName name="__ALL4">#REF!</definedName>
    <definedName name="__ALL5">#REF!</definedName>
    <definedName name="__Amo1">#REF!</definedName>
    <definedName name="__Amo2">#REF!</definedName>
    <definedName name="__APR01">#REF!</definedName>
    <definedName name="__APR02">#REF!</definedName>
    <definedName name="__APR03">#REF!</definedName>
    <definedName name="__APR04">#REF!</definedName>
    <definedName name="__APR05">#REF!</definedName>
    <definedName name="__APR06">#REF!</definedName>
    <definedName name="__APR07">#REF!</definedName>
    <definedName name="__APR08">#REF!</definedName>
    <definedName name="__APR09">#REF!</definedName>
    <definedName name="__APR10">#REF!</definedName>
    <definedName name="__APR11">#REF!</definedName>
    <definedName name="__APR12">#REF!</definedName>
    <definedName name="__APR94">#REF!</definedName>
    <definedName name="__APR95">#REF!</definedName>
    <definedName name="__APR96">#REF!</definedName>
    <definedName name="__APR97">#REF!</definedName>
    <definedName name="__APR98">#REF!</definedName>
    <definedName name="__APR99">#REF!</definedName>
    <definedName name="__ASS2">#REF!</definedName>
    <definedName name="__AUG01">#REF!</definedName>
    <definedName name="__AUG02">#REF!</definedName>
    <definedName name="__AUG03">#REF!</definedName>
    <definedName name="__AUG04">#REF!</definedName>
    <definedName name="__AUG05">#REF!</definedName>
    <definedName name="__AUG06">#REF!</definedName>
    <definedName name="__AUG07">#REF!</definedName>
    <definedName name="__AUG08">#REF!</definedName>
    <definedName name="__AUG09">#REF!</definedName>
    <definedName name="__AUG10">#REF!</definedName>
    <definedName name="__AUG11">#REF!</definedName>
    <definedName name="__AUG93">#REF!</definedName>
    <definedName name="__AUG94">#REF!</definedName>
    <definedName name="__AUG95">#REF!</definedName>
    <definedName name="__AUG96">#REF!</definedName>
    <definedName name="__AUG97">#REF!</definedName>
    <definedName name="__AUG98">#REF!</definedName>
    <definedName name="__AUG99">#REF!</definedName>
    <definedName name="__C">#REF!</definedName>
    <definedName name="__con1">#REF!</definedName>
    <definedName name="__con10">#REF!</definedName>
    <definedName name="__con2">#REF!</definedName>
    <definedName name="__con3">#REF!</definedName>
    <definedName name="__con4">#REF!</definedName>
    <definedName name="__con5">#REF!</definedName>
    <definedName name="__con6">#REF!</definedName>
    <definedName name="__con7">#REF!</definedName>
    <definedName name="__con8">#REF!</definedName>
    <definedName name="__con9">#REF!</definedName>
    <definedName name="__DATE1">"TRIGGER.MSFOR|203|501"</definedName>
    <definedName name="__DEC01">#REF!</definedName>
    <definedName name="__dec02">#REF!</definedName>
    <definedName name="__DEC03">#REF!</definedName>
    <definedName name="__DEC04">#REF!</definedName>
    <definedName name="__DEC05">#REF!</definedName>
    <definedName name="__DEC06">#REF!</definedName>
    <definedName name="__DEC07">#REF!</definedName>
    <definedName name="__DEC08">#REF!</definedName>
    <definedName name="__DEC09">#REF!</definedName>
    <definedName name="__DEC10">#REF!</definedName>
    <definedName name="__DEC11">#REF!</definedName>
    <definedName name="__DEC93">#REF!</definedName>
    <definedName name="__DEC94">#REF!</definedName>
    <definedName name="__DEC95">#REF!</definedName>
    <definedName name="__DEC96">#REF!</definedName>
    <definedName name="__DEC97">#REF!</definedName>
    <definedName name="__DEC98">#REF!</definedName>
    <definedName name="__DEC99">#REF!</definedName>
    <definedName name="__Dumpster">0</definedName>
    <definedName name="__FDS_HYPERLINK_TOGGLE_STATE__">"ON"</definedName>
    <definedName name="__FDS_UNIQUE_RANGE_ID_GENERATOR_COUNTER">5</definedName>
    <definedName name="__FEB01">#REF!</definedName>
    <definedName name="__FEB02">#REF!</definedName>
    <definedName name="__FEB03">#REF!</definedName>
    <definedName name="__FEB04">#REF!</definedName>
    <definedName name="__FEB05">#REF!</definedName>
    <definedName name="__FEB06">#REF!</definedName>
    <definedName name="__FEB07">#REF!</definedName>
    <definedName name="__FEB08">#REF!</definedName>
    <definedName name="__FEB09">#REF!</definedName>
    <definedName name="__FEB10">#REF!</definedName>
    <definedName name="__FEB11">#REF!</definedName>
    <definedName name="__FEB12">#REF!</definedName>
    <definedName name="__FEB94">#REF!</definedName>
    <definedName name="__FEB95">#REF!</definedName>
    <definedName name="__FEB96">#REF!</definedName>
    <definedName name="__FEB97">#REF!</definedName>
    <definedName name="__FEB98">#REF!</definedName>
    <definedName name="__FEB99">#REF!</definedName>
    <definedName name="__foh1">#REF!</definedName>
    <definedName name="__foh2">#REF!</definedName>
    <definedName name="__fom1">#REF!</definedName>
    <definedName name="__fom2">#REF!</definedName>
    <definedName name="__hkh1">#REF!</definedName>
    <definedName name="__hkh2">#REF!</definedName>
    <definedName name="__hkm1">#REF!</definedName>
    <definedName name="__hkm2">#REF!</definedName>
    <definedName name="__INT1">#REF!</definedName>
    <definedName name="__INT2">#REF!</definedName>
    <definedName name="__INT3">#REF!</definedName>
    <definedName name="__INT4">#REF!</definedName>
    <definedName name="__IntlFixup">TRUE</definedName>
    <definedName name="__irr1">#REF!</definedName>
    <definedName name="__JAN01">#REF!</definedName>
    <definedName name="__JAN02">#REF!</definedName>
    <definedName name="__JAN03">#REF!</definedName>
    <definedName name="__JAN04">#REF!</definedName>
    <definedName name="__JAN05">#REF!</definedName>
    <definedName name="__JAN06">#REF!</definedName>
    <definedName name="__JAN07">#REF!</definedName>
    <definedName name="__JAN08">#REF!</definedName>
    <definedName name="__JAN09">#REF!</definedName>
    <definedName name="__JAN10">#REF!</definedName>
    <definedName name="__JAN11">#REF!</definedName>
    <definedName name="__JAN12">#REF!</definedName>
    <definedName name="__JAN94">#REF!</definedName>
    <definedName name="__JAN95">#REF!</definedName>
    <definedName name="__JAN96">#REF!</definedName>
    <definedName name="__JAN97">#REF!</definedName>
    <definedName name="__JAN98">#REF!</definedName>
    <definedName name="__JAN99">#REF!</definedName>
    <definedName name="__jo1" localSheetId="4">print_consol</definedName>
    <definedName name="__jo1">print_consol</definedName>
    <definedName name="__jo2">{#N/A,#N/A,FALSE,"DCF-COM";#N/A,#N/A,FALSE,"VAC-COM"}</definedName>
    <definedName name="__jo3">{"CASHFLOW",#N/A,FALSE,"Northpointe"}</definedName>
    <definedName name="__jo4">{#N/A,#N/A,FALSE,"SHEET1";#N/A,#N/A,FALSE,"SHEET2";#N/A,#N/A,FALSE,"SHEET3";#N/A,#N/A,FALSE,"SHEET4"}</definedName>
    <definedName name="__JUL01">#REF!</definedName>
    <definedName name="__JUL02">#REF!</definedName>
    <definedName name="__JUL03">#REF!</definedName>
    <definedName name="__JUL04">#REF!</definedName>
    <definedName name="__JUL05">#REF!</definedName>
    <definedName name="__JUL06">#REF!</definedName>
    <definedName name="__JUL07">#REF!</definedName>
    <definedName name="__JUL08">#REF!</definedName>
    <definedName name="__JUL09">#REF!</definedName>
    <definedName name="__JUL10">#REF!</definedName>
    <definedName name="__JUL11">#REF!</definedName>
    <definedName name="__JUL94">#REF!</definedName>
    <definedName name="__JUL95">#REF!</definedName>
    <definedName name="__JUL96">#REF!</definedName>
    <definedName name="__JUL97">#REF!</definedName>
    <definedName name="__JUL98">#REF!</definedName>
    <definedName name="__JUL99">#REF!</definedName>
    <definedName name="__JUN01">#REF!</definedName>
    <definedName name="__JUN02">#REF!</definedName>
    <definedName name="__JUN03">#REF!</definedName>
    <definedName name="__JUN04">#REF!</definedName>
    <definedName name="__JUN05">#REF!</definedName>
    <definedName name="__JUN06">#REF!</definedName>
    <definedName name="__JUN07">#REF!</definedName>
    <definedName name="__JUN08">#REF!</definedName>
    <definedName name="__JUN09">#REF!</definedName>
    <definedName name="__JUN10">#REF!</definedName>
    <definedName name="__JUN11">#REF!</definedName>
    <definedName name="__JUN12">#REF!</definedName>
    <definedName name="__JUN94">#REF!</definedName>
    <definedName name="__JUN95">#REF!</definedName>
    <definedName name="__JUN96">#REF!</definedName>
    <definedName name="__JUN97">#REF!</definedName>
    <definedName name="__JUN98">#REF!</definedName>
    <definedName name="__JUN99">#REF!</definedName>
    <definedName name="__key1">#REF!</definedName>
    <definedName name="__key2">#REF!</definedName>
    <definedName name="__LTV1">#REF!</definedName>
    <definedName name="__LTV2">#REF!</definedName>
    <definedName name="__MAR01">#REF!</definedName>
    <definedName name="__MAR02">#REF!</definedName>
    <definedName name="__MAR03">#REF!</definedName>
    <definedName name="__MAR04">#REF!</definedName>
    <definedName name="__MAR05">#REF!</definedName>
    <definedName name="__MAR06">#REF!</definedName>
    <definedName name="__MAR07">#REF!</definedName>
    <definedName name="__MAR08">#REF!</definedName>
    <definedName name="__MAR09">#REF!</definedName>
    <definedName name="__MAR10">#REF!</definedName>
    <definedName name="__MAR11">#REF!</definedName>
    <definedName name="__MAR12">#REF!</definedName>
    <definedName name="__MAR94">#REF!</definedName>
    <definedName name="__MAR95">#REF!</definedName>
    <definedName name="__MAR96">#REF!</definedName>
    <definedName name="__MAR97">#REF!</definedName>
    <definedName name="__MAR98">#REF!</definedName>
    <definedName name="__MAR99">#REF!</definedName>
    <definedName name="__MAY01">#REF!</definedName>
    <definedName name="__MAY02">#REF!</definedName>
    <definedName name="__MAY03">#REF!</definedName>
    <definedName name="__MAY04">#REF!</definedName>
    <definedName name="__MAY05">#REF!</definedName>
    <definedName name="__MAY06">#REF!</definedName>
    <definedName name="__MAY07">#REF!</definedName>
    <definedName name="__MAY08">#REF!</definedName>
    <definedName name="__MAY09">#REF!</definedName>
    <definedName name="__MAY10">#REF!</definedName>
    <definedName name="__MAY11">#REF!</definedName>
    <definedName name="__MAY12">#REF!</definedName>
    <definedName name="__MAY94">#REF!</definedName>
    <definedName name="__MAY95">#REF!</definedName>
    <definedName name="__MAY96">#REF!</definedName>
    <definedName name="__MAY97">#REF!</definedName>
    <definedName name="__MAY98">#REF!</definedName>
    <definedName name="__MAY99">#REF!</definedName>
    <definedName name="__mns01">#REF!</definedName>
    <definedName name="__mns02">#REF!</definedName>
    <definedName name="__mns04">#REF!</definedName>
    <definedName name="__mns05">#REF!</definedName>
    <definedName name="__new2">{"'B-2 QSER Jun 98 4-27-98 cor'!$A$1:$F$57"}</definedName>
    <definedName name="__new5">{"'B-2 QSER Jun 98 4-27-98 cor'!$A$1:$F$57"}</definedName>
    <definedName name="__nms03">#REF!</definedName>
    <definedName name="__NOV01">#REF!</definedName>
    <definedName name="__NOV02">#REF!</definedName>
    <definedName name="__NOV03">#REF!</definedName>
    <definedName name="__NOV04">#REF!</definedName>
    <definedName name="__NOV05">#REF!</definedName>
    <definedName name="__NOV06">#REF!</definedName>
    <definedName name="__NOV07">#REF!</definedName>
    <definedName name="__NOV08">#REF!</definedName>
    <definedName name="__NOV09">#REF!</definedName>
    <definedName name="__NOV10">#REF!</definedName>
    <definedName name="__NOV11">#REF!</definedName>
    <definedName name="__NOV93">#REF!</definedName>
    <definedName name="__NOV94">#REF!</definedName>
    <definedName name="__NOV95">#REF!</definedName>
    <definedName name="__NOV96">#REF!</definedName>
    <definedName name="__NOV97">#REF!</definedName>
    <definedName name="__NOV98">#REF!</definedName>
    <definedName name="__NOV99">#REF!</definedName>
    <definedName name="__nps01">#REF!</definedName>
    <definedName name="__nps02">#REF!</definedName>
    <definedName name="__nps03">#REF!</definedName>
    <definedName name="__nps04">#REF!</definedName>
    <definedName name="__nps05">#REF!</definedName>
    <definedName name="__OCT01">#REF!</definedName>
    <definedName name="__OCT02">#REF!</definedName>
    <definedName name="__OCT03">#REF!</definedName>
    <definedName name="__OCT04">#REF!</definedName>
    <definedName name="__OCT05">#REF!</definedName>
    <definedName name="__OCT06">#REF!</definedName>
    <definedName name="__OCT07">#REF!</definedName>
    <definedName name="__OCT08">#REF!</definedName>
    <definedName name="__OCT09">#REF!</definedName>
    <definedName name="__OCT10">#REF!</definedName>
    <definedName name="__OCT11">#REF!</definedName>
    <definedName name="__OCT93">#REF!</definedName>
    <definedName name="__OCT94">#REF!</definedName>
    <definedName name="__OCT95">#REF!</definedName>
    <definedName name="__OCT96">#REF!</definedName>
    <definedName name="__OCT97">#REF!</definedName>
    <definedName name="__OCT98">#REF!</definedName>
    <definedName name="__OCT99">#REF!</definedName>
    <definedName name="__OLD2">#REF!</definedName>
    <definedName name="__PG1">#REF!</definedName>
    <definedName name="__PG3">#REF!</definedName>
    <definedName name="__PG4">#REF!</definedName>
    <definedName name="__pr3">#REF!</definedName>
    <definedName name="__pr4">#REF!</definedName>
    <definedName name="__prt3">#REF!</definedName>
    <definedName name="__R">#REF!</definedName>
    <definedName name="__Row1">#REF!</definedName>
    <definedName name="__Row2">#REF!</definedName>
    <definedName name="__Row3">#REF!</definedName>
    <definedName name="__Row4">#REF!</definedName>
    <definedName name="__Row5">#REF!</definedName>
    <definedName name="__Row6">#REF!</definedName>
    <definedName name="__Row7">#REF!</definedName>
    <definedName name="__Row8">#REF!</definedName>
    <definedName name="__RPC9">#REF!</definedName>
    <definedName name="__SEP01">#REF!</definedName>
    <definedName name="__SEP02">#REF!</definedName>
    <definedName name="__SEP03">#REF!</definedName>
    <definedName name="__SEP04">#REF!</definedName>
    <definedName name="__SEP05">#REF!</definedName>
    <definedName name="__SEP06">#REF!</definedName>
    <definedName name="__SEP07">#REF!</definedName>
    <definedName name="__SEP08">#REF!</definedName>
    <definedName name="__SEP09">#REF!</definedName>
    <definedName name="__SEP10">#REF!</definedName>
    <definedName name="__SEP11">#REF!</definedName>
    <definedName name="__SEP93">#REF!</definedName>
    <definedName name="__SEP94">#REF!</definedName>
    <definedName name="__SEP95">#REF!</definedName>
    <definedName name="__SEP96">#REF!</definedName>
    <definedName name="__SEP97">#REF!</definedName>
    <definedName name="__SEP98">#REF!</definedName>
    <definedName name="__SEP99">#REF!</definedName>
    <definedName name="__SK1">#REF!</definedName>
    <definedName name="__std962">#REF!</definedName>
    <definedName name="__Tax01">#REF!</definedName>
    <definedName name="__tax02">#REF!</definedName>
    <definedName name="__Tax97">#REF!</definedName>
    <definedName name="__Tax98">#REF!</definedName>
    <definedName name="__Tax99">#REF!</definedName>
    <definedName name="__tit2">#REF!</definedName>
    <definedName name="__tpc2">#REF!</definedName>
    <definedName name="__tpc96">#REF!</definedName>
    <definedName name="__tpc963">#REF!</definedName>
    <definedName name="__tpc964">#REF!</definedName>
    <definedName name="__tpc965">#REF!</definedName>
    <definedName name="__tpc966">#REF!</definedName>
    <definedName name="__tpc967">#REF!</definedName>
    <definedName name="__tpc968">#REF!</definedName>
    <definedName name="__tpc99">#REF!</definedName>
    <definedName name="_1">#REF!</definedName>
    <definedName name="_1__123Graph_ACHART_1">#REF!</definedName>
    <definedName name="_1__123Graph_CCHART_2">#REF!</definedName>
    <definedName name="_1__FDSAUDITLINK__">{"fdsup://IBCentral/FAT Viewer?action=UPDATE&amp;creator=factset&amp;DOC_NAME=fat:reuters_annual_source_window.fat&amp;display_string=Audit&amp;DYN_ARGS=TRUE&amp;VAR:ID1=B5WFLQ&amp;VAR:RCODE=SCSI&amp;VAR:SDATE=20100999&amp;VAR:FREQ=Y&amp;VAR:RELITEM=RP&amp;VAR:CURRENCY=&amp;VAR:CURRSOURCE=EXSHARE&amp;VAR",":NATFREQ=ANNUAL&amp;VAR:RFIELD=FINALIZED&amp;VAR:DB_TYPE=&amp;VAR:UNITS=M&amp;window=popup&amp;width=450&amp;height=300&amp;START_MAXIMIZED=FALSE"}</definedName>
    <definedName name="_1_1997_DEPTS">#REF!</definedName>
    <definedName name="_1_allcaz">#REF!</definedName>
    <definedName name="_10__123Graph_ACHART_5">#REF!</definedName>
    <definedName name="_10__123Graph_ACHART_6">#REF!</definedName>
    <definedName name="_10__123Graph_BCHART_5">#REF!</definedName>
    <definedName name="_10__123Graph_CCHART_1">#REF!</definedName>
    <definedName name="_10__123Graph_CCHART_3">#REF!</definedName>
    <definedName name="_100DIV_X16__ELEC">#REF!</definedName>
    <definedName name="_101DIV_X17___INSUR">#REF!</definedName>
    <definedName name="_102DIV_X18___TEST">#REF!</definedName>
    <definedName name="_103DIV_X19___CONT">#REF!</definedName>
    <definedName name="_104DIV_X20___ARCH">#REF!</definedName>
    <definedName name="_105DIV_X21___INDIR">#REF!</definedName>
    <definedName name="_108__123Graph_BCHART_22">#REF!</definedName>
    <definedName name="_108DIV_X23___FEES">#REF!</definedName>
    <definedName name="_10Module2_.PRINT_BCPR">#REF!</definedName>
    <definedName name="_10Module2_.PRINT_BCTAX">#REF!</definedName>
    <definedName name="_11__123Graph_ACHART_6">#REF!</definedName>
    <definedName name="_11__123Graph_BCHART_6">#REF!</definedName>
    <definedName name="_11__123Graph_CCHART_2">#REF!</definedName>
    <definedName name="_11__123Graph_DCHART_1">#REF!</definedName>
    <definedName name="_117__123Graph_CCHART_15">#REF!</definedName>
    <definedName name="_11Module2_.PRINT_BCPR">#REF!</definedName>
    <definedName name="_11Module2_.PRINT_BCTAX">#N/A</definedName>
    <definedName name="_12__123Graph_ACHART_7">#REF!</definedName>
    <definedName name="_12__123Graph_BCHART_7">#REF!</definedName>
    <definedName name="_12__123Graph_ECHART_1">#REF!</definedName>
    <definedName name="_126__123Graph_CCHART_16">#REF!</definedName>
    <definedName name="_12Module2_.PRINT_BCPR">#REF!</definedName>
    <definedName name="_12Module2_.PRINT_BCTAX">#REF!</definedName>
    <definedName name="_13__123Graph_BCHART_4">#REF!</definedName>
    <definedName name="_13__123Graph_CCHART_3">#REF!</definedName>
    <definedName name="_13__123Graph_CCHART_4">#REF!</definedName>
    <definedName name="_13__123Graph_FCHART_1">#REF!</definedName>
    <definedName name="_135__123Graph_CCHART_17">#REF!</definedName>
    <definedName name="_13Module2_.PRINT_BCTAX">#REF!</definedName>
    <definedName name="_13Module2_.PRINT_HSUM">#N/A</definedName>
    <definedName name="_14__123Graph_BCHART_4">#REF!</definedName>
    <definedName name="_14__123Graph_BCHART_5">#REF!</definedName>
    <definedName name="_14__123Graph_DCHART_1">#REF!</definedName>
    <definedName name="_14__123Graph_LBL_ACHART_2">#REF!</definedName>
    <definedName name="_14__123Graph_XCHART_5">#REF!</definedName>
    <definedName name="_144__123Graph_CCHART_22">#REF!</definedName>
    <definedName name="_14Module2_.PRINT_BCPR">#N/A</definedName>
    <definedName name="_14Module2_.PRINT_BCTAX">#REF!</definedName>
    <definedName name="_14Module2_.PRINT_HSUM">#REF!</definedName>
    <definedName name="_15.85M">#REF!</definedName>
    <definedName name="_15__123Graph_BCHART_6">#REF!</definedName>
    <definedName name="_15__123Graph_ECHART_1">#REF!</definedName>
    <definedName name="_15__123Graph_LBL_ACHART_3">#REF!</definedName>
    <definedName name="_15__123Graph_XCHART_6">#REF!</definedName>
    <definedName name="_153__123Graph_CSEG_PIE">#REF!</definedName>
    <definedName name="_15Module2_.PRINT_BCTAX">#REF!</definedName>
    <definedName name="_15Module2_.PRINT_HSUM">#N/A</definedName>
    <definedName name="_16__123Graph_BCHART_5">#REF!</definedName>
    <definedName name="_16__123Graph_BCHART_7">#REF!</definedName>
    <definedName name="_16__123Graph_FCHART_1">#REF!</definedName>
    <definedName name="_16__123Graph_LBL_ACHART_4">#REF!</definedName>
    <definedName name="_16__123Graph_XCHART_7">#REF!</definedName>
    <definedName name="_162__123Graph_DCHART_15">#REF!</definedName>
    <definedName name="_16Module2_.PRINT_BCPR">#REF!</definedName>
    <definedName name="_16Module2_.PRINT_HSUM">#REF!</definedName>
    <definedName name="_17__123Graph_CCHART_4">#REF!</definedName>
    <definedName name="_17__123Graph_LBL_ACHART_2">#REF!</definedName>
    <definedName name="_17__123Graph_LBL_BCHART_2">#REF!</definedName>
    <definedName name="_17_1PRINTALL">#REF!</definedName>
    <definedName name="_171__123Graph_DCHART_16">#REF!</definedName>
    <definedName name="_17Module2_.PRINT_BCTAX">#REF!</definedName>
    <definedName name="_17Module2_.PRINT_HSUM">#REF!</definedName>
    <definedName name="_18__123Graph_ACHART_15">#REF!</definedName>
    <definedName name="_18__123Graph_BCHART_6">#REF!</definedName>
    <definedName name="_18__123Graph_LBL_BCHART_3">#REF!</definedName>
    <definedName name="_18__123Graph_XCHART_5">#REF!</definedName>
    <definedName name="_180__123Graph_DCHART_17">#REF!</definedName>
    <definedName name="_189__123Graph_DCHART_22">#REF!</definedName>
    <definedName name="_18ABOVE_GRADE_PAR">#REF!</definedName>
    <definedName name="_18Module2_.PRINT_BCTAX">#N/A</definedName>
    <definedName name="_18Module2_.PRINT_HSUM">#REF!</definedName>
    <definedName name="_19__123Graph_LBL_ACHART_3">#REF!</definedName>
    <definedName name="_19__123Graph_LBL_CCHART_2">#REF!</definedName>
    <definedName name="_19__123Graph_XCHART_6">#REF!</definedName>
    <definedName name="_198__123Graph_ECHART_15">#REF!</definedName>
    <definedName name="_19CLADDING_SYSTEM">#REF!</definedName>
    <definedName name="_19Module2_.PRINT_BCTAX">#REF!</definedName>
    <definedName name="_19Module2_.PRINT_HSUM">#REF!</definedName>
    <definedName name="_1Module2_.PRINT_BCCAM">#REF!</definedName>
    <definedName name="_1PRINTALL">#REF!</definedName>
    <definedName name="_2">#REF!</definedName>
    <definedName name="_2__123Graph_ACHART_1">#REF!</definedName>
    <definedName name="_2__123Graph_ACHART_2">#REF!</definedName>
    <definedName name="_2__123Graph_ACHART_3I">#REF!</definedName>
    <definedName name="_2__123Graph_XCHART_2">#REF!</definedName>
    <definedName name="_2__FDSAUDITLINK__">{"fdsup://IBCentral/FAT Viewer?action=UPDATE&amp;creator=factset&amp;DOC_NAME=fat:reuters_annual_source_window.fat&amp;display_string=Audit&amp;DYN_ARGS=TRUE&amp;VAR:ID1=B5WFLQ&amp;VAR:RCODE=STLD&amp;VAR:SDATE=20100999&amp;VAR:FREQ=Y&amp;VAR:RELITEM=RP&amp;VAR:CURRENCY=&amp;VAR:CURRSOURCE=EXSHARE&amp;VAR",":NATFREQ=ANNUAL&amp;VAR:RFIELD=FINALIZED&amp;VAR:DB_TYPE=&amp;VAR:UNITS=M&amp;window=popup&amp;width=450&amp;height=300&amp;START_MAXIMIZED=FALSE"}</definedName>
    <definedName name="_2_1997_RENT">#REF!</definedName>
    <definedName name="_20__123Graph_ACHART_5">#REF!</definedName>
    <definedName name="_20__123Graph_BCHART_7">#REF!</definedName>
    <definedName name="_20__123Graph_LBL_ACHART_4">#REF!</definedName>
    <definedName name="_20__123Graph_LBL_CCHART_3">#REF!</definedName>
    <definedName name="_20__123Graph_XCHART_7">#REF!</definedName>
    <definedName name="_207__123Graph_ECHART_16">#REF!</definedName>
    <definedName name="_20DIV_1___GEN_REQ">#REF!</definedName>
    <definedName name="_20Module2_.PRINT_BCTAX">#REF!</definedName>
    <definedName name="_20Module2_.PRINT_HSUM">#REF!</definedName>
    <definedName name="_21__123Graph_ACHART_4">#REF!</definedName>
    <definedName name="_21__123Graph_LBL_BCHART_2">#REF!</definedName>
    <definedName name="_21_1PRINTALL">#REF!</definedName>
    <definedName name="_216__123Graph_ECHART_17">#REF!</definedName>
    <definedName name="_21DIV_2___SITE">#REF!</definedName>
    <definedName name="_22__123Graph_ACHART_4">#REF!</definedName>
    <definedName name="_22__123Graph_ACHART_5">#REF!</definedName>
    <definedName name="_22__123Graph_CCHART_4">#REF!</definedName>
    <definedName name="_225__123Graph_ECHART_22">#REF!</definedName>
    <definedName name="_22ABOVE_GRADE_PAR">#REF!</definedName>
    <definedName name="_22DIV_6___WOOD">#REF!</definedName>
    <definedName name="_22Module2_.PRINT_BCTAX">#N/A</definedName>
    <definedName name="_23__123Graph_ACHART_6">#REF!</definedName>
    <definedName name="_23__123Graph_LBL_BCHART_3">#REF!</definedName>
    <definedName name="_234__123Graph_FCHART_15">#REF!</definedName>
    <definedName name="_23CLADDING_SYSTEM">#REF!</definedName>
    <definedName name="_23DIV_7___INSULAT">#REF!</definedName>
    <definedName name="_24__123Graph_ACHART_5">#REF!</definedName>
    <definedName name="_24__123Graph_ACHART_7">#REF!</definedName>
    <definedName name="_24__123Graph_LBL_CCHART_2">#REF!</definedName>
    <definedName name="_24__123Graph_XCHART_5">#REF!</definedName>
    <definedName name="_243__123Graph_FCHART_16">#REF!</definedName>
    <definedName name="_24DIV_1___GEN_REQ">#REF!</definedName>
    <definedName name="_24DIV_8___DOORS">#REF!</definedName>
    <definedName name="_24Module2_.PRINT_BCTAX">#REF!</definedName>
    <definedName name="_25__123Graph_BCHART_4">#REF!</definedName>
    <definedName name="_252__123Graph_FCHART_17">#REF!</definedName>
    <definedName name="_25DIV_2___SITE">#REF!</definedName>
    <definedName name="_25DIV_9___FINISH">#REF!</definedName>
    <definedName name="_25Module2_.PRINT_HSUM">#REF!</definedName>
    <definedName name="_26__123Graph_ACHART_6">#REF!</definedName>
    <definedName name="_26__123Graph_BCHART_5">#REF!</definedName>
    <definedName name="_26__123Graph_LBL_CCHART_3">#REF!</definedName>
    <definedName name="_26__123Graph_XCHART_6">#REF!</definedName>
    <definedName name="_261__123Graph_FCHART_22">#REF!</definedName>
    <definedName name="_26DIV_6___WOOD">#REF!</definedName>
    <definedName name="_26DIV_X10___SPEC">#REF!</definedName>
    <definedName name="_26Module2_.PRINT_HSUM">#N/A</definedName>
    <definedName name="_27__123Graph_ACHART_16">#REF!</definedName>
    <definedName name="_27__123Graph_BCHART_6">#REF!</definedName>
    <definedName name="_270__123Graph_XCHART_15">#REF!</definedName>
    <definedName name="_279__123Graph_XCHART_16">#REF!</definedName>
    <definedName name="_27DIV_7___INSULAT">#REF!</definedName>
    <definedName name="_27DIV_X11___EQUIP">#REF!</definedName>
    <definedName name="_27Module2_.PRINT_HSUM">#REF!</definedName>
    <definedName name="_28__123Graph_ACHART_7">#REF!</definedName>
    <definedName name="_28__123Graph_BCHART_7">#REF!</definedName>
    <definedName name="_28__123Graph_XCHART_7">#REF!</definedName>
    <definedName name="_28_0_S">#REF!</definedName>
    <definedName name="_288__123Graph_XCHART_17">#REF!</definedName>
    <definedName name="_28DIV_8___DOORS">#REF!</definedName>
    <definedName name="_28DIV_X12___FURN">#REF!</definedName>
    <definedName name="_28Module2_.PRINT_HSUM">#REF!</definedName>
    <definedName name="_29__123Graph_CCHART_4">#REF!</definedName>
    <definedName name="_297__123Graph_XCHART_18">#REF!</definedName>
    <definedName name="_29DIV_9___FINISH">#REF!</definedName>
    <definedName name="_29DIV_X14___ELEV">#REF!</definedName>
    <definedName name="_2Module2_.PRINT_BCCAM">#REF!</definedName>
    <definedName name="_2Module2_.PRINT_BCPR">#REF!</definedName>
    <definedName name="_3">#REF!</definedName>
    <definedName name="_3__123Graph_ACHART_3">#REF!</definedName>
    <definedName name="_3__123Graph_ACHART_3I">#REF!</definedName>
    <definedName name="_3__123Graph_LBL_ACHART_1">#REF!</definedName>
    <definedName name="_3__FDSAUDITLINK__">{"fdsup://IBCentral/FAT Viewer?action=UPDATE&amp;creator=factset&amp;DOC_NAME=fat:reuters_annual_shs_src_window.fat&amp;display_string=Audit&amp;DYN_ARGS=TRUE&amp;VAR:ID1=B5WFLQ&amp;VAR:RCODE=FDSSHSOUTDEPS&amp;VAR:SDATE=20100999&amp;VAR:FREQ=Y&amp;VAR:RELITEM=RP&amp;VAR:CURRENCY=&amp;VAR:CURRSOURCE=E","XSHARE&amp;VAR:NATFREQ=ANNUAL&amp;VAR:RFIELD=FINALIZED&amp;VAR:DB_TYPE=&amp;VAR:UNITS=M&amp;window=popup&amp;width=450&amp;height=300&amp;START_MAXIMIZED=FALSE"}</definedName>
    <definedName name="_3_97_CONSOLIDATED">#REF!</definedName>
    <definedName name="_30__123Graph_ACHART_4">#REF!</definedName>
    <definedName name="_30__123Graph_BCHART_4">#REF!</definedName>
    <definedName name="_30__123Graph_BCHART_6">#REF!</definedName>
    <definedName name="_30__123Graph_XCHART_5">#REF!</definedName>
    <definedName name="_306__123Graph_XCHART_19">#REF!</definedName>
    <definedName name="_30DIV_X10___SPEC">#REF!</definedName>
    <definedName name="_30DIV_X15___MECH">#REF!</definedName>
    <definedName name="_30Module2_.PRINT_HSUM">#N/A</definedName>
    <definedName name="_31__123Graph_XCHART_6">#REF!</definedName>
    <definedName name="_315__123Graph_XCHART_22">#REF!</definedName>
    <definedName name="_31DIV_X11___EQUIP">#REF!</definedName>
    <definedName name="_31DIV_X16__ELEC">#REF!</definedName>
    <definedName name="_32__123Graph_ACHART_5">#REF!</definedName>
    <definedName name="_32__123Graph_BCHART_5">#REF!</definedName>
    <definedName name="_32__123Graph_XCHART_7">#REF!</definedName>
    <definedName name="_324__123Graph_XSEG_PIE">#REF!</definedName>
    <definedName name="_32DIV_X12___FURN">#REF!</definedName>
    <definedName name="_32DIV_X17___INSUR">#REF!</definedName>
    <definedName name="_32Module2_.PRINT_HSUM">#REF!</definedName>
    <definedName name="_33_1PRINTALL">#REF!</definedName>
    <definedName name="_33DIV_X14___ELEV">#REF!</definedName>
    <definedName name="_33DIV_X18___TEST">#REF!</definedName>
    <definedName name="_34__123Graph_ACHART_6">#REF!</definedName>
    <definedName name="_34__123Graph_BCHART_6">#REF!</definedName>
    <definedName name="_34DIV_X15___MECH">#REF!</definedName>
    <definedName name="_34DIV_X19___CONT">#REF!</definedName>
    <definedName name="_35ABOVE_GRADE_PAR">#REF!</definedName>
    <definedName name="_35DIV_X16__ELEC">#REF!</definedName>
    <definedName name="_35DIV_X20___ARCH">#REF!</definedName>
    <definedName name="_36__123Graph_ACHART_17">#REF!</definedName>
    <definedName name="_36__123Graph_ACHART_7">#REF!</definedName>
    <definedName name="_36__123Graph_BCHART_7">#REF!</definedName>
    <definedName name="_36CLADDING_SYSTEM">#REF!</definedName>
    <definedName name="_36DIV_X17___INSUR">#REF!</definedName>
    <definedName name="_36DIV_X21___INDIR">#REF!</definedName>
    <definedName name="_37DIV_1___GEN_REQ">#REF!</definedName>
    <definedName name="_37DIV_X18___TEST">#REF!</definedName>
    <definedName name="_37DIV_X22___PRMIT">#REF!</definedName>
    <definedName name="_38__123Graph_BCHART_4">#REF!</definedName>
    <definedName name="_38__123Graph_CCHART_4">#REF!</definedName>
    <definedName name="_38DIV_2___SITE">#REF!</definedName>
    <definedName name="_38DIV_X19___CONT">#REF!</definedName>
    <definedName name="_38DIV_X23___FEES">#REF!</definedName>
    <definedName name="_39DIV_6___WOOD">#REF!</definedName>
    <definedName name="_39DIV_X20___ARCH">#REF!</definedName>
    <definedName name="_39GENERAL_CONDITI">#REF!</definedName>
    <definedName name="_3Module2_.PRINT_BCCAM">#REF!</definedName>
    <definedName name="_3Module2_.PRINT_BCTAX">#REF!</definedName>
    <definedName name="_4__123Graph_ACHART_3">#REF!</definedName>
    <definedName name="_4__123Graph_ACHART_4">#REF!</definedName>
    <definedName name="_4__123Graph_LBL_ACHART_1">#REF!</definedName>
    <definedName name="_4__123Graph_LBL_ACHART_3I">#REF!</definedName>
    <definedName name="_4__FDSAUDITLINK__">{"fdsup://IBCentral/FAT Viewer?action=UPDATE&amp;creator=factset&amp;DOC_NAME=fat:reuters_annual_shs_src_window.fat&amp;display_string=Audit&amp;DYN_ARGS=TRUE&amp;VAR:ID1=91879Q10&amp;VAR:RCODE=FDSSHSOUTDEPS&amp;VAR:SDATE=20100799&amp;VAR:FREQ=Y&amp;VAR:RELITEM=RP&amp;VAR:CURRENCY=&amp;VAR:CURRSOURCE","=EXSHARE&amp;VAR:NATFREQ=ANNUAL&amp;VAR:RFIELD=FINALIZED&amp;VAR:DB_TYPE=&amp;VAR:UNITS=M&amp;window=popup&amp;width=450&amp;height=300&amp;START_MAXIMIZED=FALSE"}</definedName>
    <definedName name="_40__123Graph_BCHART_5">#REF!</definedName>
    <definedName name="_40__123Graph_XCHART_5">#REF!</definedName>
    <definedName name="_40DIV_7___INSULAT">#REF!</definedName>
    <definedName name="_40DIV_X21___INDIR">#REF!</definedName>
    <definedName name="_40INTERIOR_SYSTEM">#REF!</definedName>
    <definedName name="_41DIV_8___DOORS">#REF!</definedName>
    <definedName name="_41DIV_X22___PRMIT">#REF!</definedName>
    <definedName name="_41SITE_WORK">#REF!</definedName>
    <definedName name="_42__123Graph_BCHART_6">#REF!</definedName>
    <definedName name="_42__123Graph_XCHART_6">#REF!</definedName>
    <definedName name="_42DIV_9___FINISH">#REF!</definedName>
    <definedName name="_42DIV_X23___FEES">#REF!</definedName>
    <definedName name="_42STRUCTURAL_SYST">#REF!</definedName>
    <definedName name="_43DIV_X10___SPEC">#REF!</definedName>
    <definedName name="_43GENERAL_CONDITI">#REF!</definedName>
    <definedName name="_44__123Graph_BCHART_7">#REF!</definedName>
    <definedName name="_44__123Graph_XCHART_7">#REF!</definedName>
    <definedName name="_44DIV_X11___EQUIP">#REF!</definedName>
    <definedName name="_44INTERIOR_SYSTEM">#REF!</definedName>
    <definedName name="_45__123Graph_ACHART_18">#REF!</definedName>
    <definedName name="_45_1PRINTALL">#REF!</definedName>
    <definedName name="_45DIV_X12___FURN">#REF!</definedName>
    <definedName name="_45SITE_WORK">#REF!</definedName>
    <definedName name="_46__123Graph_CCHART_4">#REF!</definedName>
    <definedName name="_46ABOVE_GRADE_PAR">#REF!</definedName>
    <definedName name="_46DIV_X14___ELEV">#REF!</definedName>
    <definedName name="_46STRUCTURAL_SYST">#REF!</definedName>
    <definedName name="_47DIV_X15___MECH">#REF!</definedName>
    <definedName name="_48__123Graph_XCHART_5">#REF!</definedName>
    <definedName name="_48CLADDING_SYSTEM">#REF!</definedName>
    <definedName name="_48DIV_X16__ELEC">#REF!</definedName>
    <definedName name="_49DIV_1___GEN_REQ">#REF!</definedName>
    <definedName name="_49DIV_X17___INSUR">#REF!</definedName>
    <definedName name="_4Module2_.PRINT_BCCAM">#REF!</definedName>
    <definedName name="_4Module2_.PRINT_BCPR">#REF!</definedName>
    <definedName name="_4Module2_.PRINT_HSUM">#REF!</definedName>
    <definedName name="_4PROPERTY_TAX">#REF!</definedName>
    <definedName name="_5__123Graph_ACHART_4">#REF!</definedName>
    <definedName name="_5__123Graph_BCHART_1">#REF!</definedName>
    <definedName name="_5__123Graph_LBL_ACHART_3I">#REF!</definedName>
    <definedName name="_5__123Graph_XCHART_1">#REF!</definedName>
    <definedName name="_50__123Graph_XCHART_6">#REF!</definedName>
    <definedName name="_50DIV_2___SITE">#REF!</definedName>
    <definedName name="_50DIV_X18___TEST">#REF!</definedName>
    <definedName name="_51__123Graph_ACHART_4">#REF!</definedName>
    <definedName name="_51DIV_6___WOOD">#REF!</definedName>
    <definedName name="_51DIV_X19___CONT">#REF!</definedName>
    <definedName name="_52__123Graph_XCHART_7">#REF!</definedName>
    <definedName name="_52DIV_7___INSULAT">#REF!</definedName>
    <definedName name="_52DIV_X20___ARCH">#REF!</definedName>
    <definedName name="_53DIV_8___DOORS">#REF!</definedName>
    <definedName name="_53DIV_X21___INDIR">#REF!</definedName>
    <definedName name="_54__123Graph_ACHART_19">#REF!</definedName>
    <definedName name="_54__123Graph_ACHART_5">#REF!</definedName>
    <definedName name="_54DIV_9___FINISH">#REF!</definedName>
    <definedName name="_54DIV_X22___PRMIT">#REF!</definedName>
    <definedName name="_55DIV_X10___SPEC">#REF!</definedName>
    <definedName name="_55DIV_X23___FEES">#REF!</definedName>
    <definedName name="_56DIV_X11___EQUIP">#REF!</definedName>
    <definedName name="_56GENERAL_CONDITI">#REF!</definedName>
    <definedName name="_57__123Graph_ACHART_6">#REF!</definedName>
    <definedName name="_57DIV_X12___FURN">#REF!</definedName>
    <definedName name="_57INTERIOR_SYSTEM">#REF!</definedName>
    <definedName name="_58SITE_WORK">#REF!</definedName>
    <definedName name="_59DIV_X14___ELEV">#REF!</definedName>
    <definedName name="_59STRUCTURAL_SYST">#REF!</definedName>
    <definedName name="_5Module2_.PRINT_BCCAM">#REF!</definedName>
    <definedName name="_5Module2_.PRINT_BCPR">#N/A</definedName>
    <definedName name="_5YEARHOLD">#REF!</definedName>
    <definedName name="_5YEARTOP">#REF!</definedName>
    <definedName name="_5YRPRO">#REF!</definedName>
    <definedName name="_6__123Graph_ACHART_4">#REF!</definedName>
    <definedName name="_6__123Graph_ACHART_5">#REF!</definedName>
    <definedName name="_6__123Graph_BCHART_1">#REF!</definedName>
    <definedName name="_6__123Graph_BCHART_2">#REF!</definedName>
    <definedName name="_6__123Graph_XCHART_1">#REF!</definedName>
    <definedName name="_60__123Graph_ACHART_7">#REF!</definedName>
    <definedName name="_60DIV_X15___MECH">#REF!</definedName>
    <definedName name="_61DIV_X16__ELEC">#REF!</definedName>
    <definedName name="_62DIV_X17___INSUR">#REF!</definedName>
    <definedName name="_63__123Graph_ACHART_21">#REF!</definedName>
    <definedName name="_63__123Graph_BCHART_4">#REF!</definedName>
    <definedName name="_63DIV_X18___TEST">#REF!</definedName>
    <definedName name="_64DIV_X19___CONT">#REF!</definedName>
    <definedName name="_65DIV_X20___ARCH">#REF!</definedName>
    <definedName name="_66__123Graph_BCHART_5">#REF!</definedName>
    <definedName name="_66DIV_X21___INDIR">#REF!</definedName>
    <definedName name="_68DIV_X22___PRMIT">#REF!</definedName>
    <definedName name="_69__123Graph_BCHART_6">#REF!</definedName>
    <definedName name="_69DIV_X23___FEES">#REF!</definedName>
    <definedName name="_6Module2_.PRINT_BCCAM">#N/A</definedName>
    <definedName name="_6Module2_.PRINT_BCPR">#REF!</definedName>
    <definedName name="_6Module2_.PRINT_BCTAX">#REF!</definedName>
    <definedName name="_7__123Graph_ACHART_6">#REF!</definedName>
    <definedName name="_7__123Graph_BCHART_2">#REF!</definedName>
    <definedName name="_7__123Graph_BCHART_3">#REF!</definedName>
    <definedName name="_71GENERAL_CONDITI">#REF!</definedName>
    <definedName name="_72__123Graph_ASEG_PIE">#REF!</definedName>
    <definedName name="_72__123Graph_BCHART_7">#REF!</definedName>
    <definedName name="_73INTERIOR_SYSTEM">#REF!</definedName>
    <definedName name="_75__123Graph_CCHART_4">#REF!</definedName>
    <definedName name="_75SITE_WORK">#REF!</definedName>
    <definedName name="_77STRUCTURAL_SYST">#REF!</definedName>
    <definedName name="_78__123Graph_XCHART_5">#REF!</definedName>
    <definedName name="_7Module2_.PRINT_BCPR">#N/A</definedName>
    <definedName name="_8.1158M">#REF!</definedName>
    <definedName name="_8.25M">#REF!</definedName>
    <definedName name="_8__123Graph_ACHART_5">#REF!</definedName>
    <definedName name="_8__123Graph_ACHART_7">#REF!</definedName>
    <definedName name="_8__123Graph_CCHART_1">#REF!</definedName>
    <definedName name="_81__123Graph_BCHART_15">#REF!</definedName>
    <definedName name="_81__123Graph_XCHART_6">#REF!</definedName>
    <definedName name="_81_1PRINTALL">#REF!</definedName>
    <definedName name="_84__123Graph_XCHART_7">#REF!</definedName>
    <definedName name="_88DIV_1___GEN_REQ">#REF!</definedName>
    <definedName name="_89DIV_2___SITE">#REF!</definedName>
    <definedName name="_8Module2_.PRINT_BCCAM">#REF!</definedName>
    <definedName name="_8Module2_.PRINT_BCPR">#REF!</definedName>
    <definedName name="_8Module2_.PRINT_HSUM">#REF!</definedName>
    <definedName name="_9__123Graph_ACHART_12">#REF!</definedName>
    <definedName name="_9__123Graph_ACHART_4">#REF!</definedName>
    <definedName name="_9__123Graph_BCHART_3">#REF!</definedName>
    <definedName name="_9__123Graph_BCHART_4">#REF!</definedName>
    <definedName name="_9__123Graph_CCHART_2">#REF!</definedName>
    <definedName name="_9_27_2002">#REF!</definedName>
    <definedName name="_9_30_2002">#REF!</definedName>
    <definedName name="_90__123Graph_BCHART_16">#REF!</definedName>
    <definedName name="_90DIV_6___WOOD">#REF!</definedName>
    <definedName name="_91DIV_7___INSULAT">#REF!</definedName>
    <definedName name="_92DIV_8___DOORS">#REF!</definedName>
    <definedName name="_93DIV_9___FINISH">#REF!</definedName>
    <definedName name="_94DIV_X10___SPEC">#REF!</definedName>
    <definedName name="_95DIV_X11___EQUIP">#REF!</definedName>
    <definedName name="_96DIV_X12___FURN">#REF!</definedName>
    <definedName name="_99__123Graph_BCHART_17">#REF!</definedName>
    <definedName name="_99DIV_X15___MECH">#REF!</definedName>
    <definedName name="_9Module2_.PRINT_BCPR">#REF!</definedName>
    <definedName name="_9Module2_.PRINT_BCTAX">#N/A</definedName>
    <definedName name="_a1">{"Assump",#N/A,TRUE,"Proforma";"first",#N/A,TRUE,"Proforma";"second",#N/A,TRUE,"Proforma";"lease1",#N/A,TRUE,"Proforma";"lease2",#N/A,TRUE,"Proforma"}</definedName>
    <definedName name="_a2">{"sheet a",#N/A,FALSE,"A";"2 9 casflow",#N/A,FALSE,"B"}</definedName>
    <definedName name="_ACT2003">#REF!</definedName>
    <definedName name="_ACT2004">#REF!</definedName>
    <definedName name="_ACT2005">#REF!</definedName>
    <definedName name="_agc2">#REF!</definedName>
    <definedName name="_agc3">#REF!</definedName>
    <definedName name="_al1">{"sheet a",#N/A,FALSE,"A";"sheet b 1",#N/A,FALSE,"B";"sheet b 2",#N/A,FALSE,"B"}</definedName>
    <definedName name="_ALL1">#REF!</definedName>
    <definedName name="_ALL2">#REF!</definedName>
    <definedName name="_ALL3">#REF!</definedName>
    <definedName name="_ALL4">#REF!</definedName>
    <definedName name="_ALL5">#REF!</definedName>
    <definedName name="_Amo1">#REF!</definedName>
    <definedName name="_Amo2">#REF!</definedName>
    <definedName name="_APR01">#REF!</definedName>
    <definedName name="_APR02">#REF!</definedName>
    <definedName name="_APR03">#REF!</definedName>
    <definedName name="_APR04">#REF!</definedName>
    <definedName name="_APR05">#REF!</definedName>
    <definedName name="_APR06">#REF!</definedName>
    <definedName name="_APR07">#REF!</definedName>
    <definedName name="_APR08">#REF!</definedName>
    <definedName name="_APR09">#REF!</definedName>
    <definedName name="_APR10">#REF!</definedName>
    <definedName name="_APR11">#REF!</definedName>
    <definedName name="_APR12">#REF!</definedName>
    <definedName name="_APR94">#REF!</definedName>
    <definedName name="_APR95">#REF!</definedName>
    <definedName name="_APR96">#REF!</definedName>
    <definedName name="_APR97">#REF!</definedName>
    <definedName name="_APR98">#REF!</definedName>
    <definedName name="_APR99">#REF!</definedName>
    <definedName name="_ASS2">#REF!</definedName>
    <definedName name="_AUG01">#REF!</definedName>
    <definedName name="_AUG02">#REF!</definedName>
    <definedName name="_AUG03">#REF!</definedName>
    <definedName name="_AUG04">#REF!</definedName>
    <definedName name="_AUG05">#REF!</definedName>
    <definedName name="_AUG06">#REF!</definedName>
    <definedName name="_AUG07">#REF!</definedName>
    <definedName name="_AUG08">#REF!</definedName>
    <definedName name="_AUG09">#REF!</definedName>
    <definedName name="_AUG10">#REF!</definedName>
    <definedName name="_AUG11">#REF!</definedName>
    <definedName name="_AUG93">#REF!</definedName>
    <definedName name="_AUG94">#REF!</definedName>
    <definedName name="_AUG95">#REF!</definedName>
    <definedName name="_AUG96">#REF!</definedName>
    <definedName name="_AUG97">#REF!</definedName>
    <definedName name="_AUG98">#REF!</definedName>
    <definedName name="_AUG99">#REF!</definedName>
    <definedName name="_B">#REF!</definedName>
    <definedName name="_bdm.0000011391824A3BB065AA3290EB713A.edm">#REF!</definedName>
    <definedName name="_bdm.00DF460E05C946038BAC10FA4B695964.edm">#REF!</definedName>
    <definedName name="_bdm.02C3F0020F8242858E50ED8F580EC2B9.edm">#REF!</definedName>
    <definedName name="_bdm.053467FC79AC4911B25AD65640B9F694.edm">#REF!</definedName>
    <definedName name="_bdm.084320B1F3854DF3A6E7EBED1747A3D8.edm">#REF!</definedName>
    <definedName name="_bdm.0929A4DC5A004DDEB37590D37954F5ED.edm">#REF!</definedName>
    <definedName name="_bdm.09DCA47796BD4D369C372D771591429D.edm">#REF!</definedName>
    <definedName name="_bdm.0B6924026F204A9CB3FEB8AC70BC65C5.edm">#REF!</definedName>
    <definedName name="_bdm.0B84724C98A943CBB8B64E8FDC47F469.edm">#REF!</definedName>
    <definedName name="_bdm.0C45FA7333F14177BDD4497D806A8CC5.edm">#REF!</definedName>
    <definedName name="_bdm.0DA695115A7849878FF9EE3AC84F1576.edm">#REF!</definedName>
    <definedName name="_bdm.0E35EF21EBD547599D485A7D76045A18.edm">#REF!</definedName>
    <definedName name="_bdm.0EE6FC54691E434D9159A3C6D972147D.edm">#REF!</definedName>
    <definedName name="_bdm.159CCB3A74614A5D87BBBC6DD67AC7E6.edm">#REF!</definedName>
    <definedName name="_bdm.161A1B3F66FC4CA59023742E35E83BC0.edm">#REF!</definedName>
    <definedName name="_bdm.17D6D0306F13452D8EC568F03D908316.edm">#REF!</definedName>
    <definedName name="_bdm.17FF8FC0CB67401A947CDE6B76B7A5C7.edm">#REF!</definedName>
    <definedName name="_bdm.194963E896034ECA9031284ADD56F613.edm">#REF!</definedName>
    <definedName name="_bdm.1970F22910DF4397983C8FF5D28E0F8F.edm">#REF!</definedName>
    <definedName name="_bdm.19EFE4A357D8496D943FBCBCBFCF130C.edm">#REF!</definedName>
    <definedName name="_bdm.1A60CA308C234F83AAB2EE96AD403B4A.edm">#REF!</definedName>
    <definedName name="_bdm.1B6C0A1A6B7F408497E757C686EBD63D.edm">#REF!</definedName>
    <definedName name="_bdm.1CEDA0EF377A47BDBB5F928D501D1657.edm">#REF!</definedName>
    <definedName name="_bdm.1E7ACAEADE8841F1ACA0B32FE24FE49D.edm">#REF!</definedName>
    <definedName name="_bdm.226FED87962B41349D1EB0228679AA7C.edm">#REF!</definedName>
    <definedName name="_bdm.22F1C0055A4644768DBAC180CC11D54E.edm">#REF!</definedName>
    <definedName name="_bdm.2504604E69DD4DB38D16B580E9DD9E71.edm">#REF!</definedName>
    <definedName name="_bdm.2931B7BFDE154F5EAE1A5735CA3BD3DD.edm">#REF!</definedName>
    <definedName name="_bdm.29B4AAD3E0F94597AF1D7A79DCC2A860.edm">#REF!</definedName>
    <definedName name="_bdm.2A81A4CD1EBF489FA3A5E2762C1E232F.edm">#REF!</definedName>
    <definedName name="_bdm.2AACF379138C4ACF9B347ABF8FE65863.edm">#REF!</definedName>
    <definedName name="_bdm.2B266B094B714C22B66D493C1E5626C3.edm">#REF!</definedName>
    <definedName name="_bdm.2C5F54B5CDD3489698C833C833F36067.edm">#REF!</definedName>
    <definedName name="_bdm.2D2F7533CCE94D17BF3F603B29093C72.edm">#REF!</definedName>
    <definedName name="_bdm.2DAB2B1D99A44F69B10CB9D00243940D.edm">#REF!</definedName>
    <definedName name="_bdm.2F550A4241F342F69B6ABF5933AB756A.edm">#REF!</definedName>
    <definedName name="_bdm.3059FC0807AD4C3BB6649AE47F6BAE83.edm">#REF!</definedName>
    <definedName name="_bdm.3298F537C98A4E8391727CC612F1CF49.edm">#REF!</definedName>
    <definedName name="_bdm.32BE2BB4707549EAAAF874A36DAA2A41.edm">#REF!</definedName>
    <definedName name="_bdm.33FEAC027B3F459B8BE06F74992AC4BB.edm">#REF!</definedName>
    <definedName name="_bdm.34182B27D68C4E9D8EA685646B09A0E8.edm">#REF!</definedName>
    <definedName name="_bdm.398E817975214956A02E26DF8F2711A8.edm">#REF!</definedName>
    <definedName name="_bdm.3CAB7057C2DD42888BBF9D13A64861D2.edm">#REF!</definedName>
    <definedName name="_bdm.3E4E04BAFACA428DA01DD123B72C7D30.edm">#REF!</definedName>
    <definedName name="_bdm.434B100D22B049B8B753816FBC05C5F0.edm">#REF!</definedName>
    <definedName name="_bdm.43579CAC20BC4F7780D333FAE524597E.edm">#REF!</definedName>
    <definedName name="_bdm.43FDCAA237CB40BE8F5A0CC46E2452CE.edm">#REF!</definedName>
    <definedName name="_bdm.462774E013DA4C2490AA31CFFD99523F.edm">#REF!</definedName>
    <definedName name="_bdm.486603D52B0A41308EAA522F0F700B7B.edm">#REF!</definedName>
    <definedName name="_bdm.4B2BFA8079DB4EF791830BB94EFFE90F.edm">#REF!</definedName>
    <definedName name="_bdm.4C44C078990642D78A02330A9225EF64.edm">#REF!</definedName>
    <definedName name="_bdm.50D3A1D7B5584F559E494D98546BC058.edm">#REF!</definedName>
    <definedName name="_bdm.50FB6FE9A7204DEC8B4A147929DD201C.edm">#REF!</definedName>
    <definedName name="_bdm.5381E876F578457791B38D1DC0F111ED.edm">#REF!</definedName>
    <definedName name="_bdm.5407610E4A3949798C32D51045BF3275.edm">#REF!</definedName>
    <definedName name="_bdm.56D5D11E1C9A41AF9F370F08D6EB511C.edm">#REF!</definedName>
    <definedName name="_bdm.5822C7B2DBBD4570AED0FA491B178A20.edm">#REF!</definedName>
    <definedName name="_bdm.59097C90020849E584C54BBE15C02D79.edm">#REF!</definedName>
    <definedName name="_bdm.591EB47C21C740079DFA03DBF9B896A6.edm">#REF!</definedName>
    <definedName name="_bdm.5E033E8614194FCBADEF7EB7A716B0A7.edm">#REF!</definedName>
    <definedName name="_bdm.5E3A688369224664B12548FD15A516DD.edm">#REF!</definedName>
    <definedName name="_bdm.604BF667BDBF4BF191BB2AFF3973B8FA.edm">#REF!</definedName>
    <definedName name="_bdm.61C0268107124E37A9B886DBD4485DAA.edm">#REF!</definedName>
    <definedName name="_bdm.621903F4E3F24FD0B6FC2ED5D809768E.edm">#REF!</definedName>
    <definedName name="_bdm.6384E401ACF242E2947ECB9198E5E73A.edm">#REF!</definedName>
    <definedName name="_bdm.6E4CA2400FD148C6ABD12E10316F5FB2.edm">#REF!</definedName>
    <definedName name="_bdm.74E7E27736D841FD861DBC138FF10505.edm">#REF!</definedName>
    <definedName name="_bdm.74EF0CA68A23406B8F83AC6C95DC30C5.edm">#REF!</definedName>
    <definedName name="_bdm.763F178D80114F57820E4C6C0024777D.edm">#REF!</definedName>
    <definedName name="_bdm.7878728B0549452A831B7C33AA636A5B.edm">#REF!</definedName>
    <definedName name="_bdm.7A63497052294108BBB8C9F28C1714CA.edm">#REF!</definedName>
    <definedName name="_bdm.7B83263CB2EA40A3A1C326F4B64FF272.edm">#REF!</definedName>
    <definedName name="_bdm.7BAB045F55674A75B88F57B71127A243.edm">#REF!</definedName>
    <definedName name="_bdm.7C1450A0D06448B0B7349F8EEA36977C.edm">#REF!</definedName>
    <definedName name="_bdm.7C70E420607249B397E3C4F49521F10D.edm">#REF!</definedName>
    <definedName name="_bdm.7C8F732387564934BFF94B2B3A2F1708.edm">#REF!</definedName>
    <definedName name="_bdm.7D79CCEAE23C43E28C60B86A3AE5E0E2.edm">#REF!</definedName>
    <definedName name="_bdm.7E889CBB27EA41159176861147F0AFC5.edm">#REF!</definedName>
    <definedName name="_bdm.804F03656EE34D2DB392885B01F57F3D.edm">#REF!</definedName>
    <definedName name="_bdm.80A6D6EF19614E129E482B00B90292B5.edm">#REF!</definedName>
    <definedName name="_bdm.80E4624CFA544DF49D9E78665703B7DE.edm">#REF!</definedName>
    <definedName name="_bdm.80F6FA82A31A47C58A68A0EDE1223DD1.edm">#REF!</definedName>
    <definedName name="_bdm.81A7DCB98AFA442597C5DECE5FAF135A.edm">#REF!</definedName>
    <definedName name="_bdm.85D6C78B2B5D4D4793BCC71891259F85.edm">#REF!</definedName>
    <definedName name="_bdm.86B8F6E048DD42EDB1E538D2B5AB72A7.edm">#REF!</definedName>
    <definedName name="_bdm.875710AB518640B6B7A4C6C360BD885A.edm">#REF!</definedName>
    <definedName name="_bdm.87EC8B54D0914194933649F313CF4230.edm">#REF!</definedName>
    <definedName name="_bdm.8921AA538C6B4B109BBA62E9534A9C14.edm">#REF!</definedName>
    <definedName name="_bdm.8AA8BD0F69204775B0A74378BF5202C4.edm">#REF!</definedName>
    <definedName name="_bdm.8D37ED638AD34A37AE5E53618DBE8226.edm">#REF!</definedName>
    <definedName name="_bdm.92DE871363C0464F9E085F9868F72FF2.edm">#REF!</definedName>
    <definedName name="_bdm.93235CC542A84AE781376A3CAB8201B5.edm">#REF!</definedName>
    <definedName name="_bdm.948A18E54F854DF78AA6F2EA7F0F0676.edm">#REF!</definedName>
    <definedName name="_bdm.9646B478C6A44110A39C09C611292BC6.edm">#REF!</definedName>
    <definedName name="_bdm.9653DE5D1DE340038545453292074708.edm">#REF!</definedName>
    <definedName name="_bdm.99F55084A5364FE6884E1669DD980415.edm">#REF!</definedName>
    <definedName name="_bdm.9B405D01CC23443DB1C18C31CC760CA5.edm">#REF!</definedName>
    <definedName name="_bdm.9D6AFCC90CAC4A59B167272DC3455CD4.edm">#REF!</definedName>
    <definedName name="_bdm.9E6F0A82A5E5415CAAF64DE7061D11DB.edm">#REF!</definedName>
    <definedName name="_bdm.9F208D015B134B47B545B64FDAF07661.edm">#REF!</definedName>
    <definedName name="_bdm.9F46F9B0355144CD92786BC7A590E434.edm">#REF!</definedName>
    <definedName name="_bdm.A0CF02EA29F449759792FB9AA710768C.edm">#REF!</definedName>
    <definedName name="_bdm.A411065B5F324D8CBAB4FB61821C40F4.edm">#REF!</definedName>
    <definedName name="_bdm.A508B333E25044FAB95CD28811999DA7.edm">#REF!</definedName>
    <definedName name="_bdm.A631F04C24C64FA1B3442671385A8C6F.edm">#REF!</definedName>
    <definedName name="_bdm.A7BDD56845D9412F9C4B0BA7F995B457.edm">#REF!</definedName>
    <definedName name="_bdm.A93E44EA09E7485B995131FEAF4E6B0F.edm">#REF!</definedName>
    <definedName name="_bdm.A956A545376C41AFA0BB6E78FDB1E463.edm">#REF!</definedName>
    <definedName name="_bdm.A99AFBA406D64FB89B6DD45DCD9B359B.edm">#REF!</definedName>
    <definedName name="_bdm.AB061C648D314BCBBEB8E5498C965AFF.edm">#REF!</definedName>
    <definedName name="_bdm.AD5A6331246A4F19A261362F47B704A5.edm">#REF!</definedName>
    <definedName name="_bdm.AE148FA4168546C58A598F1DF2EFA90E.edm">#REF!</definedName>
    <definedName name="_bdm.AF96C98CFADB40A29FBC55BF472EC83D.edm">#REF!</definedName>
    <definedName name="_bdm.B1AB6DB0ACBD4AFEA14C0F9F6FA47775.edm">#REF!</definedName>
    <definedName name="_bdm.B283837471F34CCBA9E7AF9F10093756.edm">#REF!</definedName>
    <definedName name="_bdm.B2C35A47FB1A4A3F88326AF1BEB8C12C.edm">#REF!</definedName>
    <definedName name="_bdm.B34198F78CC043239767DA1C385649DB.edm">#REF!</definedName>
    <definedName name="_bdm.B3ACEA44F2294844BF284B61ED0026F2.edm">#REF!</definedName>
    <definedName name="_bdm.B5094461F488437A9A822C174EA8AA5E.edm">#REF!</definedName>
    <definedName name="_bdm.B6F88C8CEE704951B11DD738AD559123.edm">#REF!</definedName>
    <definedName name="_bdm.B80F625885894CA6822B3B9EC2C4B103.edm">#REF!</definedName>
    <definedName name="_bdm.B97D9B136D0A4F9BB5287231BCBB617C.edm">#REF!</definedName>
    <definedName name="_bdm.B9DB597268FF4E6A9C506BE1E771F551.edm">#REF!</definedName>
    <definedName name="_bdm.B9FA0D73802D460D9753D070E00F2518.edm">#REF!</definedName>
    <definedName name="_bdm.BA35F86C913C454C9F7E55A2F807E4BE.edm">#REF!</definedName>
    <definedName name="_bdm.BD495EBDC1914DBD9B6470BCA0B93927.edm">#REF!</definedName>
    <definedName name="_bdm.BDF86781587B4CE2802B5B5770960A62.edm">#REF!</definedName>
    <definedName name="_bdm.BF38EDEC9C0741078123029737F9BFD3.edm">#REF!</definedName>
    <definedName name="_bdm.C0304B96ECE24D2992715D7FCE5D8B71.edm">#REF!</definedName>
    <definedName name="_bdm.C0AF0529C5EE4334BC78FCB26BC04820.edm">#REF!</definedName>
    <definedName name="_bdm.C3237E6B1FFC4DCBA75404594775A07E.edm">#REF!</definedName>
    <definedName name="_bdm.C37CDF7D9160439B8EE8D5B3B3971FA5.edm">#REF!</definedName>
    <definedName name="_bdm.C5EA0C259E63403D93B5EA89078017EC.edm">#REF!</definedName>
    <definedName name="_bdm.C6431F7D8E184B61B695E4CD7A6BA286.edm">#REF!</definedName>
    <definedName name="_bdm.C6CBB324C3DF4C78ADFFE620653991B6.edm">#REF!</definedName>
    <definedName name="_bdm.C7EC7C9397A74D5B838601EA86DF84CF.edm">#REF!</definedName>
    <definedName name="_bdm.C80DFA93FBFA43969ECC38920DD2C9C2.edm">#REF!</definedName>
    <definedName name="_bdm.CC8D4248568C4E39836F45FE408706B5.edm">#REF!</definedName>
    <definedName name="_bdm.CEB1A2C583D34065857A7E8E8DA7C6B7.edm">#REF!</definedName>
    <definedName name="_bdm.D03F53F083AB47DDB0AA114CCD0F9CE2.edm">#REF!</definedName>
    <definedName name="_bdm.D04DF9632C8847EF98BCCAE0B786BF73.edm">#REF!</definedName>
    <definedName name="_bdm.D1AD1FD987FC48DDB27340619D17BD4B.edm">#REF!</definedName>
    <definedName name="_bdm.D35661170E5544B0AB8B1C85FFF3A75F.edm">#REF!</definedName>
    <definedName name="_bdm.D4590E31785042E9BDCEF3B2354E20DD.edm">#REF!</definedName>
    <definedName name="_bdm.D677CBE865C447399A20D13A16482277.edm">#REF!</definedName>
    <definedName name="_bdm.D7E0ACE8AD814A1BB89B25C84084CF13.edm">#REF!</definedName>
    <definedName name="_bdm.D9D944A6D3E34B7B8EFE3724375E0152.edm">#REF!</definedName>
    <definedName name="_bdm.DBB7B9E409C34D8294D0997646FCBE69.edm">#REF!</definedName>
    <definedName name="_bdm.DBD99F5645254F80BB9955CF92A1A9AF.edm">#REF!</definedName>
    <definedName name="_bdm.DC32E0CB559443F4A9E92D02A6B84DE5.edm">#REF!</definedName>
    <definedName name="_bdm.DD095069D3AF48E6A145C9F0FC3C1FAA.edm">#REF!</definedName>
    <definedName name="_bdm.DE7A6EF29FA14EB892B9AE01C1A7F4A2.edm">#REF!</definedName>
    <definedName name="_bdm.E2146D56B51D42BFA7A36787BB2091E1.edm">#REF!</definedName>
    <definedName name="_bdm.E36DA5890E2046EFB7DA33B348CA388C.edm">#REF!</definedName>
    <definedName name="_bdm.E3F39A4C774D40E2967721210C2879F3.edm">#REF!</definedName>
    <definedName name="_bdm.E69E4802DC434ADBA8081243844C6988.edm">#REF!</definedName>
    <definedName name="_bdm.E760B70AB6D44349B0F46823EFBDA54D.edm">#REF!</definedName>
    <definedName name="_bdm.E7CB8804B9E445D18E03D62F4AE5EA14.edm">#REF!</definedName>
    <definedName name="_bdm.E83131132811402EAD49BD1EA8CD48EB.edm">#REF!</definedName>
    <definedName name="_bdm.EB193AD7D56647E8B33736278248FB8E.edm">#REF!</definedName>
    <definedName name="_bdm.EDAAEECA2DBC4B0584397B03489516CA.edm">#REF!</definedName>
    <definedName name="_bdm.F2F8A725C0EF443AAB58E6D35B1B9F1D.edm">#REF!</definedName>
    <definedName name="_bdm.F6A828CF2B724605A28FA4D36DE5E0EE.edm">#REF!</definedName>
    <definedName name="_bdm.FACDE5C901294AA6A5A8D69CCFC7EE9F.edm">#REF!</definedName>
    <definedName name="_bdm.FB72741E774A49088D16A9B2C010ED3A.edm">#REF!</definedName>
    <definedName name="_bdm.FB7F1A7645214169AE2AB6573203C693.edm">#REF!</definedName>
    <definedName name="_bdm.FD84FAF3D478437DBCC15ECFAC6E8AB9.edm">#REF!</definedName>
    <definedName name="_bdm.FD98FC87081B4B0A8A929F6045D7BEBB.edm">#REF!</definedName>
    <definedName name="_bdm.FECC922A73CE4ED5AEF0561D82336DED.edm">#REF!</definedName>
    <definedName name="_bdm.FFD97655F89D4868B19F5A48292E1019.edm">#REF!</definedName>
    <definedName name="_bdm.FFFC152FC94848048D9888D8E2116D1E.edm">#REF!</definedName>
    <definedName name="_bdm.ToolkitBookmark.1_24_2004_11_15_31_PM.edm">#REF!</definedName>
    <definedName name="_bdm.ToolkitBookmark.1_24_2004_8_24_02_PM.edm">#REF!</definedName>
    <definedName name="_bdm.ToolkitBookmark.1_24_2004_8_54_41_PM.edm">#REF!</definedName>
    <definedName name="_bdm.ToolkitBookmark.1_25_2004_9_47_15_PM.edm">#REF!</definedName>
    <definedName name="_bdm.ToolkitBookmark.1_25_2004_9_47_23_PM.edm">#REF!</definedName>
    <definedName name="_bdm.ToolkitBookmark.1_25_2004_9_48_01_PM.edm">#REF!</definedName>
    <definedName name="_BUD2003">#REF!</definedName>
    <definedName name="_BUD2004">#REF!</definedName>
    <definedName name="_BUD2005">#REF!</definedName>
    <definedName name="_C">#REF!</definedName>
    <definedName name="_Cap02">#REF!</definedName>
    <definedName name="_Cap03">#REF!</definedName>
    <definedName name="_cmp1">#REF!</definedName>
    <definedName name="_con1">#REF!</definedName>
    <definedName name="_con10">#REF!</definedName>
    <definedName name="_con2">#REF!</definedName>
    <definedName name="_con3">#REF!</definedName>
    <definedName name="_con4">#REF!</definedName>
    <definedName name="_con5">#REF!</definedName>
    <definedName name="_con6">#REF!</definedName>
    <definedName name="_con7">#REF!</definedName>
    <definedName name="_con8">#REF!</definedName>
    <definedName name="_con9">#REF!</definedName>
    <definedName name="_Database">#REF!</definedName>
    <definedName name="_DCFBegin">#REF!</definedName>
    <definedName name="_DCFData">_DCFBegin:_DCFSaleYear</definedName>
    <definedName name="_DCFDiscRate">#REF!</definedName>
    <definedName name="_DCFFirstMonth">#REF!</definedName>
    <definedName name="_DCFInclusion">#REF!</definedName>
    <definedName name="_DCFLabels">#REF!</definedName>
    <definedName name="_DCFLastMonth">OFFSET(_DCFFirstMonth,0,#REF!*12-1)</definedName>
    <definedName name="_DCFMonths">_DCFFirstMonth:_DCFLastMonth</definedName>
    <definedName name="_DCFSaleYear">OFFSET(_DCFBegin,0,#REF!*12-1)</definedName>
    <definedName name="_DEC01">#REF!</definedName>
    <definedName name="_dec02">#REF!</definedName>
    <definedName name="_DEC03">#REF!</definedName>
    <definedName name="_DEC04">#REF!</definedName>
    <definedName name="_DEC05">#REF!</definedName>
    <definedName name="_DEC06">#REF!</definedName>
    <definedName name="_DEC07">#REF!</definedName>
    <definedName name="_DEC08">#REF!</definedName>
    <definedName name="_DEC09">#REF!</definedName>
    <definedName name="_DEC10">#REF!</definedName>
    <definedName name="_DEC11">#REF!</definedName>
    <definedName name="_DEC93">#REF!</definedName>
    <definedName name="_DEC94">#REF!</definedName>
    <definedName name="_DEC95">#REF!</definedName>
    <definedName name="_DEC96">#REF!</definedName>
    <definedName name="_DEC97">#REF!</definedName>
    <definedName name="_DEC98">#REF!</definedName>
    <definedName name="_DEC99">#REF!</definedName>
    <definedName name="_DRMFYmonth_">0</definedName>
    <definedName name="_DRMFYQuarter_">1</definedName>
    <definedName name="_DRMLastQuarter_">"Mar. 31, 2003"</definedName>
    <definedName name="_FEB01">#REF!</definedName>
    <definedName name="_FEB02">#REF!</definedName>
    <definedName name="_FEB03">#REF!</definedName>
    <definedName name="_FEB04">#REF!</definedName>
    <definedName name="_FEB05">#REF!</definedName>
    <definedName name="_FEB06">#REF!</definedName>
    <definedName name="_FEB07">#REF!</definedName>
    <definedName name="_FEB08">#REF!</definedName>
    <definedName name="_FEB09">#REF!</definedName>
    <definedName name="_FEB10">#REF!</definedName>
    <definedName name="_FEB11">#REF!</definedName>
    <definedName name="_FEB12">#REF!</definedName>
    <definedName name="_FEB94">#REF!</definedName>
    <definedName name="_FEB95">#REF!</definedName>
    <definedName name="_FEB96">#REF!</definedName>
    <definedName name="_FEB97">#REF!</definedName>
    <definedName name="_FEB98">#REF!</definedName>
    <definedName name="_FEB99">#REF!</definedName>
    <definedName name="_Fee_Acquisition">#REF!</definedName>
    <definedName name="_Fee_Asset_Management">#REF!</definedName>
    <definedName name="_Fee_CapitalImprov">#REF!</definedName>
    <definedName name="_Fee_Debt_Initial">#REF!</definedName>
    <definedName name="_Fee_Debt_Refi">#REF!</definedName>
    <definedName name="_Fee_Disposition">#REF!</definedName>
    <definedName name="_Fee_LC">#REF!</definedName>
    <definedName name="_Fee_TI">#REF!</definedName>
    <definedName name="_FG1">{"schedule1",#N/A,FALSE,"Sheet1";"schedule2",#N/A,FALSE,"Sheet1";"schedule3",#N/A,FALSE,"Sheet1";"schedule4",#N/A,FALSE,"Sheet1";"schedule5",#N/A,FALSE,"Sheet1";"schedule6",#N/A,FALSE,"Sheet1"}</definedName>
    <definedName name="_Fill" localSheetId="11">#REF!</definedName>
    <definedName name="_Fill">#REF!</definedName>
    <definedName name="_xlnm._FilterDatabase" localSheetId="7">zz_data!$N$7:$N$65</definedName>
    <definedName name="_xlnm._FilterDatabase">#REF!</definedName>
    <definedName name="_foh1">#REF!</definedName>
    <definedName name="_foh2">#REF!</definedName>
    <definedName name="_fom1">#REF!</definedName>
    <definedName name="_fom2">#REF!</definedName>
    <definedName name="_glf1">#REF!</definedName>
    <definedName name="_GRR1">#REF!</definedName>
    <definedName name="_GRR2">#REF!</definedName>
    <definedName name="_GSD1">#REF!</definedName>
    <definedName name="_GSD2">#REF!</definedName>
    <definedName name="_hkh1">#REF!</definedName>
    <definedName name="_hkh2">#REF!</definedName>
    <definedName name="_hkm1">#REF!</definedName>
    <definedName name="_hkm2">#REF!</definedName>
    <definedName name="_hrh1">#REF!</definedName>
    <definedName name="_hrm1">#REF!</definedName>
    <definedName name="_INT1">#REF!</definedName>
    <definedName name="_INT2">#REF!</definedName>
    <definedName name="_INT3">#REF!</definedName>
    <definedName name="_INT4">#REF!</definedName>
    <definedName name="_irr1">#REF!</definedName>
    <definedName name="_IRR5">#REF!</definedName>
    <definedName name="_JAN01">#REF!</definedName>
    <definedName name="_JAN02">#REF!</definedName>
    <definedName name="_JAN03">#REF!</definedName>
    <definedName name="_JAN04">#REF!</definedName>
    <definedName name="_JAN05">#REF!</definedName>
    <definedName name="_JAN06">#REF!</definedName>
    <definedName name="_JAN07">#REF!</definedName>
    <definedName name="_JAN08">#REF!</definedName>
    <definedName name="_JAN09">#REF!</definedName>
    <definedName name="_JAN10">#REF!</definedName>
    <definedName name="_JAN11">#REF!</definedName>
    <definedName name="_JAN12">#REF!</definedName>
    <definedName name="_JAN94">#REF!</definedName>
    <definedName name="_JAN95">#REF!</definedName>
    <definedName name="_JAN96">#REF!</definedName>
    <definedName name="_JAN97">#REF!</definedName>
    <definedName name="_JAN98">#REF!</definedName>
    <definedName name="_JAN99">#REF!</definedName>
    <definedName name="_jo1" localSheetId="4">print_consol</definedName>
    <definedName name="_jo1">print_consol</definedName>
    <definedName name="_jo2">{#N/A,#N/A,FALSE,"DCF-COM";#N/A,#N/A,FALSE,"VAC-COM"}</definedName>
    <definedName name="_jo3">{"CASHFLOW",#N/A,FALSE,"Northpointe"}</definedName>
    <definedName name="_jo4">{#N/A,#N/A,FALSE,"SHEET1";#N/A,#N/A,FALSE,"SHEET2";#N/A,#N/A,FALSE,"SHEET3";#N/A,#N/A,FALSE,"SHEET4"}</definedName>
    <definedName name="_JUL01">#REF!</definedName>
    <definedName name="_JUL02">#REF!</definedName>
    <definedName name="_JUL03">#REF!</definedName>
    <definedName name="_JUL04">#REF!</definedName>
    <definedName name="_JUL05">#REF!</definedName>
    <definedName name="_JUL06">#REF!</definedName>
    <definedName name="_JUL07">#REF!</definedName>
    <definedName name="_JUL08">#REF!</definedName>
    <definedName name="_JUL09">#REF!</definedName>
    <definedName name="_JUL10">#REF!</definedName>
    <definedName name="_JUL11">#REF!</definedName>
    <definedName name="_JUL94">#REF!</definedName>
    <definedName name="_JUL95">#REF!</definedName>
    <definedName name="_JUL96">#REF!</definedName>
    <definedName name="_JUL97">#REF!</definedName>
    <definedName name="_JUL98">#REF!</definedName>
    <definedName name="_JUL99">#REF!</definedName>
    <definedName name="_JUN01">#REF!</definedName>
    <definedName name="_JUN02">#REF!</definedName>
    <definedName name="_JUN03">#REF!</definedName>
    <definedName name="_JUN04">#REF!</definedName>
    <definedName name="_JUN05">#REF!</definedName>
    <definedName name="_JUN06">#REF!</definedName>
    <definedName name="_JUN07">#REF!</definedName>
    <definedName name="_JUN08">#REF!</definedName>
    <definedName name="_JUN09">#REF!</definedName>
    <definedName name="_JUN10">#REF!</definedName>
    <definedName name="_JUN11">#REF!</definedName>
    <definedName name="_JUN12">#REF!</definedName>
    <definedName name="_JUN94">#REF!</definedName>
    <definedName name="_JUN95">#REF!</definedName>
    <definedName name="_JUN96">#REF!</definedName>
    <definedName name="_JUN97">#REF!</definedName>
    <definedName name="_JUN98">#REF!</definedName>
    <definedName name="_JUN99">#REF!</definedName>
    <definedName name="_Key1">#REF!</definedName>
    <definedName name="_Key2">#REF!</definedName>
    <definedName name="_kit61">#REF!</definedName>
    <definedName name="_lbh1">#REF!</definedName>
    <definedName name="_lbm1">#REF!</definedName>
    <definedName name="_LTV1">#REF!</definedName>
    <definedName name="_LTV2">#REF!</definedName>
    <definedName name="_MAR01">#REF!</definedName>
    <definedName name="_MAR02">#REF!</definedName>
    <definedName name="_MAR03">#REF!</definedName>
    <definedName name="_MAR04">#REF!</definedName>
    <definedName name="_MAR05">#REF!</definedName>
    <definedName name="_MAR06">#REF!</definedName>
    <definedName name="_MAR07">#REF!</definedName>
    <definedName name="_MAR08">#REF!</definedName>
    <definedName name="_MAR09">#REF!</definedName>
    <definedName name="_MAR10">#REF!</definedName>
    <definedName name="_MAR11">#REF!</definedName>
    <definedName name="_MAR12">#REF!</definedName>
    <definedName name="_MAR94">#REF!</definedName>
    <definedName name="_MAR95">#REF!</definedName>
    <definedName name="_MAR96">#REF!</definedName>
    <definedName name="_MAR97">#REF!</definedName>
    <definedName name="_MAR98">#REF!</definedName>
    <definedName name="_MAR99">#REF!</definedName>
    <definedName name="_MAY01">#REF!</definedName>
    <definedName name="_MAY02">#REF!</definedName>
    <definedName name="_MAY03">#REF!</definedName>
    <definedName name="_MAY04">#REF!</definedName>
    <definedName name="_MAY05">#REF!</definedName>
    <definedName name="_MAY06">#REF!</definedName>
    <definedName name="_MAY07">#REF!</definedName>
    <definedName name="_MAY08">#REF!</definedName>
    <definedName name="_MAY09">#REF!</definedName>
    <definedName name="_MAY10">#REF!</definedName>
    <definedName name="_MAY11">#REF!</definedName>
    <definedName name="_MAY12">#REF!</definedName>
    <definedName name="_MAY94">#REF!</definedName>
    <definedName name="_MAY95">#REF!</definedName>
    <definedName name="_MAY96">#REF!</definedName>
    <definedName name="_MAY97">#REF!</definedName>
    <definedName name="_MAY98">#REF!</definedName>
    <definedName name="_MAY99">#REF!</definedName>
    <definedName name="_N">#REF!</definedName>
    <definedName name="_new2">{"'B-2 QSER Jun 98 4-27-98 cor'!$A$1:$F$57"}</definedName>
    <definedName name="_new5">{"'B-2 QSER Jun 98 4-27-98 cor'!$A$1:$F$57"}</definedName>
    <definedName name="_NOI1">#REF!</definedName>
    <definedName name="_NOV01">#REF!</definedName>
    <definedName name="_NOV02">#REF!</definedName>
    <definedName name="_NOV03">#REF!</definedName>
    <definedName name="_NOV04">#REF!</definedName>
    <definedName name="_NOV05">#REF!</definedName>
    <definedName name="_NOV06">#REF!</definedName>
    <definedName name="_NOV07">#REF!</definedName>
    <definedName name="_NOV08">#REF!</definedName>
    <definedName name="_NOV09">#REF!</definedName>
    <definedName name="_NOV10">#REF!</definedName>
    <definedName name="_NOV11">#REF!</definedName>
    <definedName name="_NOV93">#REF!</definedName>
    <definedName name="_NOV94">#REF!</definedName>
    <definedName name="_NOV95">#REF!</definedName>
    <definedName name="_NOV96">#REF!</definedName>
    <definedName name="_NOV97">#REF!</definedName>
    <definedName name="_NOV98">#REF!</definedName>
    <definedName name="_NOV99">#REF!</definedName>
    <definedName name="_OCT01">#REF!</definedName>
    <definedName name="_OCT02">#REF!</definedName>
    <definedName name="_OCT03">#REF!</definedName>
    <definedName name="_OCT04">#REF!</definedName>
    <definedName name="_OCT05">#REF!</definedName>
    <definedName name="_OCT06">#REF!</definedName>
    <definedName name="_OCT07">#REF!</definedName>
    <definedName name="_OCT08">#REF!</definedName>
    <definedName name="_OCT09">#REF!</definedName>
    <definedName name="_OCT10">#REF!</definedName>
    <definedName name="_OCT11">#REF!</definedName>
    <definedName name="_OCT93">#REF!</definedName>
    <definedName name="_OCT94">#REF!</definedName>
    <definedName name="_OCT95">#REF!</definedName>
    <definedName name="_OCT96">#REF!</definedName>
    <definedName name="_OCT97">#REF!</definedName>
    <definedName name="_OCT98">#REF!</definedName>
    <definedName name="_OCT99">#REF!</definedName>
    <definedName name="_OLD2">#REF!</definedName>
    <definedName name="_Order1">255</definedName>
    <definedName name="_Order2">0</definedName>
    <definedName name="_P">#REF!</definedName>
    <definedName name="_Parse_In">#REF!</definedName>
    <definedName name="_Parse_Out">#REF!</definedName>
    <definedName name="_PER1">#REF!</definedName>
    <definedName name="_PG1">#REF!</definedName>
    <definedName name="_PG3">#REF!</definedName>
    <definedName name="_PG4">#REF!</definedName>
    <definedName name="_pkh1">#REF!</definedName>
    <definedName name="_pkm1">#REF!</definedName>
    <definedName name="_pp1">#REF!</definedName>
    <definedName name="_pp2">#REF!</definedName>
    <definedName name="_pr3">#REF!</definedName>
    <definedName name="_pr4">#REF!</definedName>
    <definedName name="_pro2" localSheetId="11">{"Construction Costs",#N/A,FALSE,"Budget";"Income Statement",#N/A,FALSE,"Budget"}</definedName>
    <definedName name="_pro2">{"Construction Costs",#N/A,FALSE,"Budget";"Income Statement",#N/A,FALSE,"Budget"}</definedName>
    <definedName name="_prt3">#REF!</definedName>
    <definedName name="_R">#REF!</definedName>
    <definedName name="_Regression_Int">1</definedName>
    <definedName name="_Regression_Out">#REF!</definedName>
    <definedName name="_Regression_X">#REF!</definedName>
    <definedName name="_Regression_Y">#REF!</definedName>
    <definedName name="_Report">"Print All"</definedName>
    <definedName name="_RLATools_Live">0</definedName>
    <definedName name="_RLATools_PortfolioRefresh">0</definedName>
    <definedName name="_Row1">#REF!</definedName>
    <definedName name="_Row2">#REF!</definedName>
    <definedName name="_Row3">#REF!</definedName>
    <definedName name="_Row4">#REF!</definedName>
    <definedName name="_Row5">#REF!</definedName>
    <definedName name="_Row6">#REF!</definedName>
    <definedName name="_Row7">#REF!</definedName>
    <definedName name="_Row8">#REF!</definedName>
    <definedName name="_rsh1">#REF!</definedName>
    <definedName name="_rsm1">#REF!</definedName>
    <definedName name="_rst1">#REF!</definedName>
    <definedName name="_rst2">#REF!</definedName>
    <definedName name="_rst3">#REF!</definedName>
    <definedName name="_rst4">#REF!</definedName>
    <definedName name="_rt1">#REF!</definedName>
    <definedName name="_rt2">#REF!</definedName>
    <definedName name="_rt3">#REF!</definedName>
    <definedName name="_rt4">#REF!</definedName>
    <definedName name="_rtm4">#REF!</definedName>
    <definedName name="_S_Base">{0.1;0;0.382758620689655;0;0;0;0.258620689655172;0;0.258620689655172}</definedName>
    <definedName name="_S_new_case">{0.1;0;0.45;0;0;0;0;0;0.45}</definedName>
    <definedName name="_s2">{"'Expirations'!$A$1:$L$65"}</definedName>
    <definedName name="_SD1">#REF!</definedName>
    <definedName name="_SD2">#REF!</definedName>
    <definedName name="_SEP01">#REF!</definedName>
    <definedName name="_SEP02">#REF!</definedName>
    <definedName name="_SEP03">#REF!</definedName>
    <definedName name="_SEP04">#REF!</definedName>
    <definedName name="_SEP05">#REF!</definedName>
    <definedName name="_SEP06">#REF!</definedName>
    <definedName name="_SEP07">#REF!</definedName>
    <definedName name="_SEP08">#REF!</definedName>
    <definedName name="_SEP09">#REF!</definedName>
    <definedName name="_SEP10">#REF!</definedName>
    <definedName name="_SEP11">#REF!</definedName>
    <definedName name="_SEP93">#REF!</definedName>
    <definedName name="_SEP94">#REF!</definedName>
    <definedName name="_SEP95">#REF!</definedName>
    <definedName name="_SEP96">#REF!</definedName>
    <definedName name="_SEP97">#REF!</definedName>
    <definedName name="_SEP98">#REF!</definedName>
    <definedName name="_SEP99">#REF!</definedName>
    <definedName name="_SK1">#REF!</definedName>
    <definedName name="_Sort">#REF!</definedName>
    <definedName name="_sph1">#REF!</definedName>
    <definedName name="_spm1">#REF!</definedName>
    <definedName name="_Table1_In1">#REF!</definedName>
    <definedName name="_Table1_Out" localSheetId="11">#REF!</definedName>
    <definedName name="_Table1_Out">#REF!</definedName>
    <definedName name="_Table2_In1" localSheetId="11">#REF!</definedName>
    <definedName name="_Table2_In1">#REF!</definedName>
    <definedName name="_Table2_In2" localSheetId="11">#REF!</definedName>
    <definedName name="_Table2_In2">#REF!</definedName>
    <definedName name="_Table2_Out">#REF!</definedName>
    <definedName name="_Table3_In2">#REF!</definedName>
    <definedName name="_Tax01">#REF!</definedName>
    <definedName name="_tax02">#REF!</definedName>
    <definedName name="_Tax97">#REF!</definedName>
    <definedName name="_Tax98">#REF!</definedName>
    <definedName name="_Tax99">#REF!</definedName>
    <definedName name="_tit2">#REF!</definedName>
    <definedName name="_tnh1">#REF!</definedName>
    <definedName name="_tnm1">#REF!</definedName>
    <definedName name="_tpc97">#REF!</definedName>
    <definedName name="_tpc98">#REF!</definedName>
    <definedName name="_umc10">#REF!</definedName>
    <definedName name="_umc11">#REF!</definedName>
    <definedName name="_umc12">#REF!</definedName>
    <definedName name="_umc5">#REF!</definedName>
    <definedName name="_umc6">#REF!</definedName>
    <definedName name="_umc7">#REF!</definedName>
    <definedName name="_umc8">#REF!</definedName>
    <definedName name="_umc9">#REF!</definedName>
    <definedName name="_umm10">#REF!</definedName>
    <definedName name="_umm11">#REF!</definedName>
    <definedName name="_umm12">#REF!</definedName>
    <definedName name="_umm5">#REF!</definedName>
    <definedName name="_umm6">#REF!</definedName>
    <definedName name="_umm7">#REF!</definedName>
    <definedName name="_umm8">#REF!</definedName>
    <definedName name="_umm9">#REF!</definedName>
    <definedName name="_ump10">#REF!</definedName>
    <definedName name="_ump11">#REF!</definedName>
    <definedName name="_ump12">#REF!</definedName>
    <definedName name="_ump5">#REF!</definedName>
    <definedName name="_ump6">#REF!</definedName>
    <definedName name="_ump7">#REF!</definedName>
    <definedName name="_ump8">#REF!</definedName>
    <definedName name="_ump9">#REF!</definedName>
    <definedName name="_Vac1">#REF!</definedName>
    <definedName name="_Vac2">#REF!</definedName>
    <definedName name="_Vac3">#REF!</definedName>
    <definedName name="_Vac4">#REF!</definedName>
    <definedName name="_Vac5">#REF!</definedName>
    <definedName name="_Vac6">#REF!</definedName>
    <definedName name="_WF_Period_lookup">#REF!</definedName>
    <definedName name="_WF_Periodicity">#REF!</definedName>
    <definedName name="_WF_Remainder_GP">#REF!</definedName>
    <definedName name="_WF_Remainder_LP">#REF!</definedName>
    <definedName name="_WF_Remainder_YN">#REF!</definedName>
    <definedName name="_WF_Tier1_CatchUp_GP">#REF!</definedName>
    <definedName name="_WF_Tier1_CatchUp_LP">#REF!</definedName>
    <definedName name="_WF_Tier1_CatchUp_YN">#REF!</definedName>
    <definedName name="_WF_Tier1_GP">#REF!</definedName>
    <definedName name="_WF_Tier1_LP">#REF!</definedName>
    <definedName name="_WF_Tier1_Rate">#REF!</definedName>
    <definedName name="_WF_Tier1_YN">#REF!</definedName>
    <definedName name="_WF_Tier1CatchUp_Hurdle">#REF!</definedName>
    <definedName name="_WF_Tier2_CatchUp_GP">#REF!</definedName>
    <definedName name="_WF_Tier2_CatchUp_LP">#REF!</definedName>
    <definedName name="_WF_Tier2_CatchUp_YN">#REF!</definedName>
    <definedName name="_WF_Tier2_GP">#REF!</definedName>
    <definedName name="_WF_Tier2_LP">#REF!</definedName>
    <definedName name="_WF_Tier2_Rate">#REF!</definedName>
    <definedName name="_WF_Tier2_YN">#REF!</definedName>
    <definedName name="_WF_Tier2CatchUp_Hurdle">#REF!</definedName>
    <definedName name="_WF_Tier3_CatchUp_GP">#REF!</definedName>
    <definedName name="_WF_Tier3_CatchUp_YN">#REF!</definedName>
    <definedName name="_WF_Tier3_GP">#REF!</definedName>
    <definedName name="_WF_Tier3_LP">#REF!</definedName>
    <definedName name="_WF_Tier3_Rate">#REF!</definedName>
    <definedName name="_WF_Tier3_YN">#REF!</definedName>
    <definedName name="_WF_Tier3CatchUp_Hurdle">#REF!</definedName>
    <definedName name="_WF_Tier3CatchUp_LP">#REF!</definedName>
    <definedName name="_Whatever">#REF!</definedName>
    <definedName name="_wrn1">{"schedule1",#N/A,FALSE,"Sheet1";"schedule2",#N/A,FALSE,"Sheet1";"schedule3",#N/A,FALSE,"Sheet1";"schedule4",#N/A,FALSE,"Sheet1";"schedule5",#N/A,FALSE,"Sheet1";"schedule6",#N/A,FALSE,"Sheet1"}</definedName>
    <definedName name="A">#REF!</definedName>
    <definedName name="A___E_Space_Planning__Legal">#REF!</definedName>
    <definedName name="a_Key1">#REF!</definedName>
    <definedName name="a_Key2">#REF!</definedName>
    <definedName name="A_mkt_rent">#REF!</definedName>
    <definedName name="a1a1">{"Assump",#N/A,TRUE,"Proforma";"first",#N/A,TRUE,"Proforma";"second",#N/A,TRUE,"Proforma";"lease1",#N/A,TRUE,"Proforma";"lease2",#N/A,TRUE,"Proforma"}</definedName>
    <definedName name="aa" localSheetId="11">{"AnnualRentRoll",#N/A,FALSE,"RentRoll"}</definedName>
    <definedName name="aa">{"AnnualRentRoll",#N/A,FALSE,"RentRoll"}</definedName>
    <definedName name="AA_All">#REF!</definedName>
    <definedName name="aaa" localSheetId="11">{"AnnualRentRoll",#N/A,FALSE,"RentRoll"}</definedName>
    <definedName name="aaa">{"AnnualRentRoll",#N/A,FALSE,"RentRoll"}</definedName>
    <definedName name="AAA_DOCTOPS">"AAA_SET"</definedName>
    <definedName name="AAA_duser">"OFF"</definedName>
    <definedName name="aaaaa">{"Assump",#N/A,TRUE,"Proforma";"first",#N/A,TRUE,"Proforma";"second",#N/A,TRUE,"Proforma";"lease1",#N/A,TRUE,"Proforma";"lease2",#N/A,TRUE,"Proforma"}</definedName>
    <definedName name="aaaaaaa">{"Outflow 1",#N/A,FALSE,"Outflows-Inflows";"Outflow 2",#N/A,FALSE,"Outflows-Inflows";"Inflow 1",#N/A,FALSE,"Outflows-Inflows";"Inflow 2",#N/A,FALSE,"Outflows-Inflows"}</definedName>
    <definedName name="AAB_Addin5">"AAB_Description for addin 5,Description for addin 5,Description for addin 5,Description for addin 5,Description for addin 5,Description for addin 5"</definedName>
    <definedName name="AAB_GSPPG">"AAB_Goldman Sachs PPG Chart Utilities 1.0g"</definedName>
    <definedName name="aacres">#REF!</definedName>
    <definedName name="AAOTROOMSADMIN">#REF!,#REF!,#REF!,#REF!</definedName>
    <definedName name="aasdfa">{"rtn",#N/A,FALSE,"RTN";"tables",#N/A,FALSE,"RTN";"cf",#N/A,FALSE,"CF";"stats",#N/A,FALSE,"Stats";"prop",#N/A,FALSE,"Prop"}</definedName>
    <definedName name="aAssFee">#REF!</definedName>
    <definedName name="abc">{#N/A,#N/A,FALSE,"Exec Sum";#N/A,#N/A,FALSE,"Rent Rate Comp";#N/A,#N/A,FALSE,"Rate, NPV Comp";#N/A,#N/A,FALSE,"Opt A NNN";#N/A,#N/A,FALSE,"15-yr Opt. A Sum";#N/A,#N/A,FALSE,"15-yr Opt A Other Costs";#N/A,#N/A,FALSE,"10-yr Opt. A Sum";#N/A,#N/A,FALSE,"10-yr Opt A Other Costs";#N/A,#N/A,FALSE,"NPV Calc"}</definedName>
    <definedName name="ABCaps">#REF!</definedName>
    <definedName name="ABFixedAdvantage">#REF!</definedName>
    <definedName name="ABHedgeAdvantage">#REF!</definedName>
    <definedName name="ABLIBORCap1">#REF!</definedName>
    <definedName name="AboveGradeRentableSF">#REF!</definedName>
    <definedName name="ABPrimeCap1">#REF!</definedName>
    <definedName name="ABSORP">#REF!</definedName>
    <definedName name="AC">#REF!</definedName>
    <definedName name="Access_Button">"Loan_Front_End_Input_List"</definedName>
    <definedName name="AccessDatabase">"\\Tc-atl-2\investment\Office &amp; Industrial\Principal Capital\Southhall\Southhall Center.mdb"</definedName>
    <definedName name="AccountCount">#REF!</definedName>
    <definedName name="accounts">#REF!</definedName>
    <definedName name="ACCT">#REF!</definedName>
    <definedName name="acct7029.11">#REF!</definedName>
    <definedName name="acct7029.12">#REF!</definedName>
    <definedName name="acct7029.13">#REF!</definedName>
    <definedName name="acct7029.14">#REF!</definedName>
    <definedName name="acct7029.15">#REF!</definedName>
    <definedName name="acct7029.2">#REF!</definedName>
    <definedName name="acct7029.3">#REF!</definedName>
    <definedName name="acct7029.4">#REF!</definedName>
    <definedName name="acct7029.5">#REF!</definedName>
    <definedName name="acct7029.6">#REF!</definedName>
    <definedName name="acct7029.7">#REF!</definedName>
    <definedName name="acct7029.8">#REF!</definedName>
    <definedName name="acct7029.9">#REF!</definedName>
    <definedName name="acct7040">#REF!</definedName>
    <definedName name="acct7063">#REF!</definedName>
    <definedName name="acct7063.1">#REF!</definedName>
    <definedName name="acct7063.2">#REF!</definedName>
    <definedName name="acct7063.3">#REF!</definedName>
    <definedName name="acct7063.4">#REF!</definedName>
    <definedName name="acct7063.5">#REF!</definedName>
    <definedName name="acct7072">#REF!</definedName>
    <definedName name="acct7120.1">#REF!</definedName>
    <definedName name="acct7120.2">#REF!</definedName>
    <definedName name="acct7219.1">#REF!</definedName>
    <definedName name="acct7219.2">#REF!</definedName>
    <definedName name="acct7219.3">#REF!</definedName>
    <definedName name="acct7219.4">#REF!</definedName>
    <definedName name="acct7219.5">#REF!</definedName>
    <definedName name="acct7220.1">#REF!</definedName>
    <definedName name="acct7220.2">#REF!</definedName>
    <definedName name="acct7220.3">#REF!</definedName>
    <definedName name="acct7220.4">#REF!</definedName>
    <definedName name="acct7220.5">#REF!</definedName>
    <definedName name="acct7220.6">#REF!</definedName>
    <definedName name="acct7220.7">#REF!</definedName>
    <definedName name="acct7225.1">#REF!</definedName>
    <definedName name="acct7225.2">#REF!</definedName>
    <definedName name="acct7250">#REF!</definedName>
    <definedName name="acct7250.1">#REF!</definedName>
    <definedName name="acct7250.2">#REF!</definedName>
    <definedName name="acct7250.3">#REF!</definedName>
    <definedName name="acct7330">#REF!</definedName>
    <definedName name="acct7338.1">#REF!</definedName>
    <definedName name="acct7338.2">#REF!</definedName>
    <definedName name="acct7339">#REF!</definedName>
    <definedName name="acct7339.1">#REF!</definedName>
    <definedName name="acct7339.2">#REF!</definedName>
    <definedName name="acct7342">#REF!</definedName>
    <definedName name="acct7342.1">#REF!</definedName>
    <definedName name="acct7342.2">#REF!</definedName>
    <definedName name="acct7342.3">#REF!</definedName>
    <definedName name="acct8003">#REF!</definedName>
    <definedName name="acct8004">#REF!</definedName>
    <definedName name="acct8111.1">#REF!</definedName>
    <definedName name="acct8111.2">#REF!</definedName>
    <definedName name="acct8125">#REF!</definedName>
    <definedName name="acctg">#REF!</definedName>
    <definedName name="Accts">#REF!</definedName>
    <definedName name="acity">#REF!</definedName>
    <definedName name="AcousticDesc">#REF!</definedName>
    <definedName name="AcousticsSub">#REF!</definedName>
    <definedName name="ACQ">#REF!</definedName>
    <definedName name="ACQFEE">#REF!</definedName>
    <definedName name="Acquisition_Cost">#REF!</definedName>
    <definedName name="Acquisition_Fee">#REF!</definedName>
    <definedName name="Acquisition_Fee_Belmont_Advisors">#REF!</definedName>
    <definedName name="Acquisition_Fee_Fund">#REF!</definedName>
    <definedName name="AcquisitionDate">#REF!</definedName>
    <definedName name="AcquisitionFee">#REF!</definedName>
    <definedName name="AcquisitionMonth">#REF!</definedName>
    <definedName name="AcquisitiontoDeliveryPeriod">#REF!</definedName>
    <definedName name="acres">#REF!</definedName>
    <definedName name="acres2">#REF!</definedName>
    <definedName name="ACT2004act">#REF!</definedName>
    <definedName name="ActCumRds">#REF!</definedName>
    <definedName name="ActCumul">#REF!</definedName>
    <definedName name="Actual">"Actual"</definedName>
    <definedName name="ACwvu.CAM._.RECOVERIES.">#REF!</definedName>
    <definedName name="ACwvu.CAM._.TABLE.">#REF!</definedName>
    <definedName name="ACwvu.INSURANCE._.RECOVERIES.">#REF!</definedName>
    <definedName name="ACwvu.MINIMUM._.RENT.">#REF!</definedName>
    <definedName name="ACwvu.OCCUPANCY._.ANALYSIS.">#REF!</definedName>
    <definedName name="ACwvu.PERCENTAGE._.RENT.">#REF!</definedName>
    <definedName name="ACwvu.TAX._.RECOVERIES.">#REF!</definedName>
    <definedName name="ACwvu.WAT.">#REF!</definedName>
    <definedName name="ADC">#REF!</definedName>
    <definedName name="additionalcomp">#REF!</definedName>
    <definedName name="addr1">#REF!</definedName>
    <definedName name="addr2">#REF!</definedName>
    <definedName name="address">#REF!</definedName>
    <definedName name="address1">#REF!</definedName>
    <definedName name="adfad">#REF!</definedName>
    <definedName name="adfadf">#REF!</definedName>
    <definedName name="adfadfdasfdaf">#REF!</definedName>
    <definedName name="adfadfdfadda">#REF!</definedName>
    <definedName name="adfadfsafdsafdsa">#REF!</definedName>
    <definedName name="adfadfsdfa">#REF!</definedName>
    <definedName name="adfadsdfaddf">#REF!</definedName>
    <definedName name="adfadsf">#REF!</definedName>
    <definedName name="adfadsfadsdhjdg">#REF!</definedName>
    <definedName name="adfadsfda">#REF!</definedName>
    <definedName name="adfadsfdafd">#REF!</definedName>
    <definedName name="adfadsfddsaffsda">#REF!</definedName>
    <definedName name="adfadsfdf">#REF!</definedName>
    <definedName name="adfadsfds">#REF!</definedName>
    <definedName name="adfadsffddfs">#REF!</definedName>
    <definedName name="adfasdf">#REF!</definedName>
    <definedName name="adfasdfdafd">#REF!</definedName>
    <definedName name="adfasdfdas">#REF!</definedName>
    <definedName name="adfdafds">#REF!</definedName>
    <definedName name="adfdas">#REF!</definedName>
    <definedName name="adffadfdsafd">#REF!</definedName>
    <definedName name="adffadfsd">#REF!</definedName>
    <definedName name="adffasdfdsa">#REF!</definedName>
    <definedName name="ADJGSFA">#REF!</definedName>
    <definedName name="ADJGSFB">#REF!</definedName>
    <definedName name="ADJGSFD">#REF!</definedName>
    <definedName name="ADJGSFE">#REF!</definedName>
    <definedName name="AdjustedNRA">#REF!</definedName>
    <definedName name="AdjustmentsColumn">#REF!</definedName>
    <definedName name="Admin">#REF!</definedName>
    <definedName name="adminpath">#REF!</definedName>
    <definedName name="ADRGROWTH">#REF!</definedName>
    <definedName name="ADRincr">1.0875</definedName>
    <definedName name="adsf">#REF!</definedName>
    <definedName name="adsfads">#REF!</definedName>
    <definedName name="adsfda">#REF!</definedName>
    <definedName name="adv">#REF!</definedName>
    <definedName name="Advertising">#REF!</definedName>
    <definedName name="aequity">#REF!</definedName>
    <definedName name="AF">#REF!</definedName>
    <definedName name="afafd">#N/A</definedName>
    <definedName name="afd">#REF!</definedName>
    <definedName name="afda">#REF!</definedName>
    <definedName name="afdadfdafdsa">#REF!</definedName>
    <definedName name="afdadfdasfdafsd">#REF!</definedName>
    <definedName name="afdadsfdaf">#REF!</definedName>
    <definedName name="afdadsfdafd">#REF!</definedName>
    <definedName name="afdadsfdafdfad">#REF!</definedName>
    <definedName name="afdadsfdsa">#REF!</definedName>
    <definedName name="afdadsfdsafdaf">#REF!</definedName>
    <definedName name="afdadsfdsfd">#REF!</definedName>
    <definedName name="afdadsfsdafds">#REF!</definedName>
    <definedName name="afdafd">#REF!</definedName>
    <definedName name="afdafdafdas">#REF!</definedName>
    <definedName name="afdafdafs">#REF!</definedName>
    <definedName name="afdafdasfdadf">#REF!</definedName>
    <definedName name="afdafdsadsf">#REF!</definedName>
    <definedName name="afdafsdfdfad">#REF!</definedName>
    <definedName name="afdasdfdafadfs">#REF!</definedName>
    <definedName name="afdasfdafds">#REF!</definedName>
    <definedName name="afddfasdfsdfsfdsa">#REF!</definedName>
    <definedName name="afdfad">#REF!</definedName>
    <definedName name="afdfadsf">#REF!</definedName>
    <definedName name="afdfadsfdsafsdafds">#REF!</definedName>
    <definedName name="afdfasd">#REF!</definedName>
    <definedName name="afdfasdfdasf">#REF!</definedName>
    <definedName name="afds">#REF!</definedName>
    <definedName name="aftertaxDR">#REF!</definedName>
    <definedName name="AI29ca8">#REF!</definedName>
    <definedName name="Al">{"sheet a",#N/A,FALSE,"A";"2 9 casflow",#N/A,FALSE,"B"}</definedName>
    <definedName name="ALEXGARDEN">#REF!</definedName>
    <definedName name="ALEXHIGH">#REF!</definedName>
    <definedName name="AliasTable">#REF!</definedName>
    <definedName name="All">#REF!</definedName>
    <definedName name="All_Books">#REF!</definedName>
    <definedName name="All_Direct">#REF!</definedName>
    <definedName name="All_HBEI">#REF!</definedName>
    <definedName name="All_HREF">#REF!</definedName>
    <definedName name="All_Investments">#REF!</definedName>
    <definedName name="All_Props">#REF!</definedName>
    <definedName name="AllTables">{6}</definedName>
    <definedName name="AllUnits">#REF!</definedName>
    <definedName name="aloancc">#REF!</definedName>
    <definedName name="Alpha_Beta_Peel_25m">#REF!</definedName>
    <definedName name="Alpha_Beta_Peel_50m">#REF!</definedName>
    <definedName name="Alpha_Omega_Facial">#REF!</definedName>
    <definedName name="AM_FEE_Y_N">#REF!</definedName>
    <definedName name="AM_FEE_YR1">#REF!</definedName>
    <definedName name="AM_FEE_YR10">#REF!</definedName>
    <definedName name="AM_FEE_YR2">#REF!</definedName>
    <definedName name="AM_FEE_YR3">#REF!</definedName>
    <definedName name="AM_FEE_YR4">#REF!</definedName>
    <definedName name="AM_FEE_YR5">#REF!</definedName>
    <definedName name="AM_FEE_YR6">#REF!</definedName>
    <definedName name="AM_FEE_YR7">#REF!</definedName>
    <definedName name="AM_FEE_YR8">#REF!</definedName>
    <definedName name="AM_FEE_YR9">#REF!</definedName>
    <definedName name="amen">#REF!</definedName>
    <definedName name="AMENU1">#REF!</definedName>
    <definedName name="AMENU2">#REF!</definedName>
    <definedName name="AMENU4">#REF!</definedName>
    <definedName name="AMERCONT">#REF!</definedName>
    <definedName name="AMFeeB">#REF!</definedName>
    <definedName name="amort">#REF!</definedName>
    <definedName name="Amort_10Yr">#REF!</definedName>
    <definedName name="Amort_12Yr">#REF!</definedName>
    <definedName name="Amort_2Yr">#REF!</definedName>
    <definedName name="Amort_3Yr">#REF!</definedName>
    <definedName name="Amort_5Yr">#REF!</definedName>
    <definedName name="Amort_7Yr">#REF!</definedName>
    <definedName name="AMORT_PER">#REF!</definedName>
    <definedName name="amort1">#REF!</definedName>
    <definedName name="amort2">#REF!</definedName>
    <definedName name="AmortEnd">#REF!</definedName>
    <definedName name="AmortizationPeriod">#REF!</definedName>
    <definedName name="amortperiod">#REF!</definedName>
    <definedName name="AmortStart">#REF!</definedName>
    <definedName name="AmortTerm">#REF!</definedName>
    <definedName name="AmortType">#REF!</definedName>
    <definedName name="amountpsf">#REF!</definedName>
    <definedName name="amountrow">#REF!</definedName>
    <definedName name="AMSched">#REF!</definedName>
    <definedName name="AMT">#REF!</definedName>
    <definedName name="ANALY_START">#REF!</definedName>
    <definedName name="AnalysisType">#REF!</definedName>
    <definedName name="AnchorBChanged">#REF!</definedName>
    <definedName name="AnchorBName">#REF!</definedName>
    <definedName name="AnchorBReleased">#REF!</definedName>
    <definedName name="AnchorBudgetID">#REF!</definedName>
    <definedName name="AnchorBudgetLoaded">#REF!</definedName>
    <definedName name="AnchorBudgetSaved">#REF!</definedName>
    <definedName name="AnchorBudgetType">#REF!</definedName>
    <definedName name="AnchorCap">#REF!</definedName>
    <definedName name="AnchorCName">#REF!</definedName>
    <definedName name="AnchorIndication">#REF!</definedName>
    <definedName name="andrew">{"eca",#N/A,TRUE,"E-C1 (R)";"ecb",#N/A,TRUE,"E-C1 (R)"}</definedName>
    <definedName name="Ann_TILC_Anchor">#REF!</definedName>
    <definedName name="ANNUAL">#REF!</definedName>
    <definedName name="Annual_Amort_Table">#REF!</definedName>
    <definedName name="ANNUAL_INT_RATE">#REF!</definedName>
    <definedName name="Annual_interest_rate">#REF!</definedName>
    <definedName name="AnnualBaseRent">#REF!</definedName>
    <definedName name="annualdebtserv">#REF!</definedName>
    <definedName name="AnnualRealEstateTax">#REF!</definedName>
    <definedName name="anscount">1</definedName>
    <definedName name="Anti___Stress_Facial">#REF!</definedName>
    <definedName name="aool">{#N/A,#N/A,FALSE,"RENT ROLL"}</definedName>
    <definedName name="aotherinc">#REF!</definedName>
    <definedName name="AP">#REF!</definedName>
    <definedName name="ApartmentAboveGradeConstructionCost">#REF!</definedName>
    <definedName name="ApartmentDatevsPercentageRented">#REF!</definedName>
    <definedName name="ApartmentOpExPercentageofRevenue">#REF!</definedName>
    <definedName name="ApartmentRentableSF">#REF!</definedName>
    <definedName name="ApartmentRentalInflation">#REF!</definedName>
    <definedName name="ApartmentRentIncrement">#REF!</definedName>
    <definedName name="ApartmentRentpsf">#REF!</definedName>
    <definedName name="Apartments">#REF!</definedName>
    <definedName name="ApartmentVacancyRate">#REF!</definedName>
    <definedName name="ApNm">#REF!</definedName>
    <definedName name="aPP">#REF!</definedName>
    <definedName name="AppliancesDesc">#REF!</definedName>
    <definedName name="ApplianceSub">#REF!</definedName>
    <definedName name="Application">#REF!</definedName>
    <definedName name="apppath">#REF!</definedName>
    <definedName name="APR_PAYROLL">#REF!</definedName>
    <definedName name="APR_REPORT">#REF!</definedName>
    <definedName name="APR_REV">#REF!</definedName>
    <definedName name="APR_STAT">#REF!</definedName>
    <definedName name="APR00">#REF!</definedName>
    <definedName name="aptvalue">#REF!</definedName>
    <definedName name="Aqualift_Replenishing_Facial">#REF!</definedName>
    <definedName name="ARCH">#REF!</definedName>
    <definedName name="Arch.MetalSub">#REF!</definedName>
    <definedName name="Arch.Millworksub">#REF!</definedName>
    <definedName name="ArchMetalDesc">#REF!</definedName>
    <definedName name="Area">#REF!</definedName>
    <definedName name="areim">#REF!</definedName>
    <definedName name="arentpot">#REF!</definedName>
    <definedName name="areserve">#REF!</definedName>
    <definedName name="arezzos">#REF!</definedName>
    <definedName name="argcsv">#REF!</definedName>
    <definedName name="argdif">#REF!</definedName>
    <definedName name="argexp">#REF!</definedName>
    <definedName name="argLL">#REF!</definedName>
    <definedName name="argnoi">#REF!</definedName>
    <definedName name="Argus">#REF!</definedName>
    <definedName name="argusCF">#REF!</definedName>
    <definedName name="ArgusScenario">#REF!</definedName>
    <definedName name="ArgusTable">#REF!</definedName>
    <definedName name="arlington">#REF!</definedName>
    <definedName name="arm">#REF!</definedName>
    <definedName name="Aromatherapy___60_Min.">#REF!</definedName>
    <definedName name="Aromatherapy___75_Min.">#REF!</definedName>
    <definedName name="Aromatherapy_Facial_50_min">#REF!</definedName>
    <definedName name="Aromatherapy_Facial_75_min">#REF!</definedName>
    <definedName name="as">{"FCB_ALL",#N/A,FALSE,"FCB"}</definedName>
    <definedName name="As_of_Date">#REF!</definedName>
    <definedName name="AS2DocOpenMode">"AS2DocumentEdit"</definedName>
    <definedName name="AS2NamedRange">3</definedName>
    <definedName name="asd">#REF!</definedName>
    <definedName name="asdf">#REF!</definedName>
    <definedName name="asdfas">{"print 1.6",#N/A,FALSE,"Sheet1";"print 2.6",#N/A,FALSE,"Sheet1";"print 3.6",#N/A,FALSE,"Sheet1";"print 4.6",#N/A,FALSE,"Sheet1";"print 5.6",#N/A,FALSE,"Sheet1";"print 6.6",#N/A,FALSE,"Sheet1"}</definedName>
    <definedName name="asdfasaa">{"print 1.6",#N/A,FALSE,"Sheet1";"print 2.6",#N/A,FALSE,"Sheet1";"print 3.6",#N/A,FALSE,"Sheet1";"print 4.6",#N/A,FALSE,"Sheet1";"print 5.6",#N/A,FALSE,"Sheet1";"print 6.6",#N/A,FALSE,"Sheet1"}</definedName>
    <definedName name="asdfasdf">{"rtn",#N/A,FALSE,"RTN";"tables",#N/A,FALSE,"RTN";"cf",#N/A,FALSE,"CF";"stats",#N/A,FALSE,"Stats";"prop",#N/A,FALSE,"Prop"}</definedName>
    <definedName name="asdfasf">#REF!</definedName>
    <definedName name="asdfg">{"rtn",#N/A,FALSE,"RTN";"tables",#N/A,FALSE,"RTN";"cf",#N/A,FALSE,"CF";"stats",#N/A,FALSE,"Stats";"prop",#N/A,FALSE,"Prop"}</definedName>
    <definedName name="asdfsdfsdf" localSheetId="11">{#N/A,#N/A,FALSE,"Expense Comparison"}</definedName>
    <definedName name="asdfsdfsdf">{#N/A,#N/A,FALSE,"Expense Comparison"}</definedName>
    <definedName name="asf">IF(#REF!&lt;&gt;"",MIN(#REF!,#REF!-#REF!),"")</definedName>
    <definedName name="ashish">{"'Assump'!$F$6:$J$6"}</definedName>
    <definedName name="Ashpalt">#REF!</definedName>
    <definedName name="ass">{"print 1.6",#N/A,FALSE,"Sheet1";"print 2.6",#N/A,FALSE,"Sheet1";"print 3.6",#N/A,FALSE,"Sheet1";"print 4.6",#N/A,FALSE,"Sheet1";"print 5.6",#N/A,FALSE,"Sheet1";"print 6.6",#N/A,FALSE,"Sheet1"}</definedName>
    <definedName name="ass_">#REF!</definedName>
    <definedName name="Assessment">#REF!</definedName>
    <definedName name="Asset_Level_Type">#REF!</definedName>
    <definedName name="Asset_Mgmt_Fee">#REF!</definedName>
    <definedName name="Asset_Mgmt_Fee_Amt">#REF!</definedName>
    <definedName name="Asset_Mgmt_Fee_Type">#REF!</definedName>
    <definedName name="Asset_Name">#REF!</definedName>
    <definedName name="Asset_Pools">#REF!</definedName>
    <definedName name="Asset_Type">#REF!</definedName>
    <definedName name="AssFee">#REF!</definedName>
    <definedName name="assfee2">#REF!</definedName>
    <definedName name="assmp1">#REF!</definedName>
    <definedName name="assmp11">#REF!</definedName>
    <definedName name="assmp2">#REF!</definedName>
    <definedName name="asss">{"rtn",#N/A,FALSE,"RTN";"tables",#N/A,FALSE,"RTN";"cf",#N/A,FALSE,"CF";"stats",#N/A,FALSE,"Stats";"prop",#N/A,FALSE,"Prop"}</definedName>
    <definedName name="ASST">#REF!</definedName>
    <definedName name="assume_amort">#REF!</definedName>
    <definedName name="Assume_Balance">#REF!</definedName>
    <definedName name="Assume_Balance_2">#REF!</definedName>
    <definedName name="Assume_exp">#REF!</definedName>
    <definedName name="assume_Int">#REF!</definedName>
    <definedName name="Assume_Start">#REF!</definedName>
    <definedName name="Assumptions">#REF!</definedName>
    <definedName name="ASSUMPTN">#REF!</definedName>
    <definedName name="ATC">#REF!</definedName>
    <definedName name="atd">#REF!</definedName>
    <definedName name="atotalcc">#REF!</definedName>
    <definedName name="ATTACHED">{#N/A,#N/A,FALSE,"el.det";#N/A,#N/A,FALSE,"mu.det";#N/A,#N/A,FALSE,"ug.det";#N/A,#N/A,FALSE,"ex.det";#N/A,#N/A,FALSE,"lux.det";#N/A,#N/A,FALSE,"custom.lot";#N/A,#N/A,FALSE,"condo.att";#N/A,#N/A,FALSE,"el.att";#N/A,#N/A,FALSE,"mu.att";#N/A,#N/A,FALSE,"ex.att";#N/A,#N/A,FALSE,"lux.att";#N/A,#N/A,FALSE,"all.by.village"}</definedName>
    <definedName name="audio">#REF!</definedName>
    <definedName name="AUG00">#REF!</definedName>
    <definedName name="aunits">#REF!</definedName>
    <definedName name="AUTO">#REF!</definedName>
    <definedName name="av">#REF!</definedName>
    <definedName name="Available_Rooms">#REF!</definedName>
    <definedName name="AVERAGEGLA">#REF!</definedName>
    <definedName name="AVERAGEGOA">#REF!</definedName>
    <definedName name="AverageRentRetail1">#REF!</definedName>
    <definedName name="AvgApartmentSize">#REF!</definedName>
    <definedName name="AvgBaseRentalAmountPerUnitPerMonth">#REF!</definedName>
    <definedName name="AvgRentBelowGradeTenant">#REF!</definedName>
    <definedName name="AvgRentTenant1">#REF!</definedName>
    <definedName name="AvgRentTenant2">#REF!</definedName>
    <definedName name="AvgRentTenant3">#REF!</definedName>
    <definedName name="AvgSF">#REF!/#REF!</definedName>
    <definedName name="awaeq">{#N/A,#N/A,FALSE,"Loan Summary";#N/A,#N/A,FALSE,"NOI";"RR and Expir",#N/A,FALSE,"Rental";"Sales History",#N/A,FALSE,"Rental";#N/A,#N/A,FALSE,"Reserves"}</definedName>
    <definedName name="ax">#REF!</definedName>
    <definedName name="b" localSheetId="11">{#N/A,#N/A,FALSE,"ExitStratigy"}</definedName>
    <definedName name="b">{#N/A,#N/A,FALSE,"ExitStratigy"}</definedName>
    <definedName name="b_hb">#REF!</definedName>
    <definedName name="b_Key1">#REF!</definedName>
    <definedName name="b_Key2">#REF!</definedName>
    <definedName name="b_l1">#REF!</definedName>
    <definedName name="b_l2">#REF!</definedName>
    <definedName name="b_l3">#REF!</definedName>
    <definedName name="B_mkt_rent">#REF!</definedName>
    <definedName name="B_Note_Calc_Switch">#REF!</definedName>
    <definedName name="b_r1">#REF!</definedName>
    <definedName name="b_r2">#REF!</definedName>
    <definedName name="b_r3">#REF!</definedName>
    <definedName name="b_r4">#REF!</definedName>
    <definedName name="b_r6">#REF!</definedName>
    <definedName name="Back_Cleansing_Facial">#REF!</definedName>
    <definedName name="Back_Wax">#REF!</definedName>
    <definedName name="bacres">#REF!</definedName>
    <definedName name="BadDebt">#REF!*12/10000</definedName>
    <definedName name="BadDebt_FY1">#REF!</definedName>
    <definedName name="BadLink" localSheetId="11">#REF!</definedName>
    <definedName name="BadLink">#REF!</definedName>
    <definedName name="Balance">#REF!</definedName>
    <definedName name="balance1">#REF!</definedName>
    <definedName name="balance2">#REF!</definedName>
    <definedName name="BALSHT">#REF!</definedName>
    <definedName name="Bang_Trim">#REF!</definedName>
    <definedName name="BANK">#REF!</definedName>
    <definedName name="BANQUET">#REF!</definedName>
    <definedName name="banquets">#REF!</definedName>
    <definedName name="Barrett_s_Recapture___Related_Deficit">#REF!</definedName>
    <definedName name="Barrett_s_Replacement_Commissions">#REF!</definedName>
    <definedName name="Barrett_s_Replacement_T.I.">#REF!</definedName>
    <definedName name="BARRINGTON_PLAZA">"bp income"</definedName>
    <definedName name="BASE">#REF!</definedName>
    <definedName name="baseburden">#REF!</definedName>
    <definedName name="BaseDate">#REF!</definedName>
    <definedName name="BaseDay">#REF!</definedName>
    <definedName name="BaseMonth">#REF!</definedName>
    <definedName name="baseperc">#REF!</definedName>
    <definedName name="BaseRent1">#REF!</definedName>
    <definedName name="BaseRent1Type">#REF!</definedName>
    <definedName name="BaseRent2">#REF!</definedName>
    <definedName name="BaseRent2Type">#REF!</definedName>
    <definedName name="BaseRent3">#REF!</definedName>
    <definedName name="BaseRent3Type">#REF!</definedName>
    <definedName name="BaseRentBelowGrade">#REF!</definedName>
    <definedName name="BaseRentBelowGradeType">#REF!</definedName>
    <definedName name="BaseRentRetail1">#REF!</definedName>
    <definedName name="BaseRentRetail1Type">#REF!</definedName>
    <definedName name="BaseRentStorage">#REF!</definedName>
    <definedName name="BaseYear">#REF!</definedName>
    <definedName name="bAssFee">#REF!</definedName>
    <definedName name="BAY_HILLS_GOLF_CLUB">#REF!</definedName>
    <definedName name="bb" localSheetId="11">{#N/A,#N/A,FALSE,"ExitStratigy"}</definedName>
    <definedName name="bb">{#N/A,#N/A,FALSE,"ExitStratigy"}</definedName>
    <definedName name="bbb" localSheetId="11">{#N/A,#N/A,FALSE,"ExitStratigy"}</definedName>
    <definedName name="bbb">{#N/A,#N/A,FALSE,"ExitStratigy"}</definedName>
    <definedName name="bbbb">{#N/A,#N/A,FALSE,"Product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bcity">#REF!</definedName>
    <definedName name="BDORIG">#REF!</definedName>
    <definedName name="Beard_Trim">#REF!</definedName>
    <definedName name="beartrap">#REF!</definedName>
    <definedName name="beattle" localSheetId="11">{"Full Sheet",#N/A,FALSE,"Expense Comparison"}</definedName>
    <definedName name="beattle">{"Full Sheet",#N/A,FALSE,"Expense Comparison"}</definedName>
    <definedName name="Beds">#REF!</definedName>
    <definedName name="Beg_Bal">#REF!</definedName>
    <definedName name="BEG_DATE">#REF!</definedName>
    <definedName name="Beginning_Balance">#N/A</definedName>
    <definedName name="beginyr">#REF!</definedName>
    <definedName name="BelowGradeDatevsPercentLeased">#REF!</definedName>
    <definedName name="BelowGradeLeaseIncrement">#REF!</definedName>
    <definedName name="bev_hb">#REF!</definedName>
    <definedName name="bev_l1">#REF!</definedName>
    <definedName name="bev_l2">#REF!</definedName>
    <definedName name="bev_l3">#REF!</definedName>
    <definedName name="bev_r1">#REF!</definedName>
    <definedName name="bev_r2">#REF!</definedName>
    <definedName name="bev_r3">#REF!</definedName>
    <definedName name="bev_r4">#REF!</definedName>
    <definedName name="bev_r6">#REF!</definedName>
    <definedName name="bevdef">#REF!</definedName>
    <definedName name="bevpos">#REF!</definedName>
    <definedName name="bevpros">#REF!</definedName>
    <definedName name="bevten">#REF!</definedName>
    <definedName name="BGE_EFT_PAYMENTS">#REF!</definedName>
    <definedName name="BIApprovedAmount1A">#REF!</definedName>
    <definedName name="BIApprovedAmount1C">#REF!</definedName>
    <definedName name="BIApprovedAmount1P">#REF!</definedName>
    <definedName name="BIApprovedAmount2A">#REF!</definedName>
    <definedName name="BIApprovedAmount2C">#REF!</definedName>
    <definedName name="BIApprovedAmount2P">#REF!</definedName>
    <definedName name="BIConEndA">#REF!</definedName>
    <definedName name="BIConEndC">#REF!</definedName>
    <definedName name="BIConEndP">#REF!</definedName>
    <definedName name="BIConStartA">#REF!</definedName>
    <definedName name="BIConStartC">#REF!</definedName>
    <definedName name="BIConStartP">#REF!</definedName>
    <definedName name="BICurrentBalance1A">#REF!</definedName>
    <definedName name="BICurrentBalance1C">#REF!</definedName>
    <definedName name="BICurrentBalance1P">#REF!</definedName>
    <definedName name="BICurrentBalance2A">#REF!</definedName>
    <definedName name="BICurrentBalance2C">#REF!</definedName>
    <definedName name="BICurrentBalance2P">#REF!</definedName>
    <definedName name="BidAskRates">#REF!</definedName>
    <definedName name="BIEquityRequirement1A">#REF!</definedName>
    <definedName name="BIEquityRequirement1C">#REF!</definedName>
    <definedName name="BIEquityRequirement1P">#REF!</definedName>
    <definedName name="BIEquityRequirement2A">#REF!</definedName>
    <definedName name="BIEquityRequirement2C">#REF!</definedName>
    <definedName name="BIEquityRequirement2P">#REF!</definedName>
    <definedName name="BIGrossBuildableSFA">#REF!</definedName>
    <definedName name="BIGrossBuildableSFC">#REF!</definedName>
    <definedName name="BIGrossBuildableSFP">#REF!</definedName>
    <definedName name="BIGrossCommercialSFA">#REF!</definedName>
    <definedName name="BIGrossCommercialSFC">#REF!</definedName>
    <definedName name="BIGrossCommercialSFP">#REF!</definedName>
    <definedName name="BIInterestRate1A">#REF!</definedName>
    <definedName name="BIInterestRate1C">#REF!</definedName>
    <definedName name="BIInterestRate1P">#REF!</definedName>
    <definedName name="BIInterestRate2A">#REF!</definedName>
    <definedName name="BIInterestRate2C">#REF!</definedName>
    <definedName name="BIInterestRate2P">#REF!</definedName>
    <definedName name="BIIRRICA">#REF!</definedName>
    <definedName name="BIIRRICC">#REF!</definedName>
    <definedName name="BIIRRICP">#REF!</definedName>
    <definedName name="BIIRRProjA">#REF!</definedName>
    <definedName name="BIIRRProjC">#REF!</definedName>
    <definedName name="BIIRRProjP">#REF!</definedName>
    <definedName name="Bikini_Wax">#REF!</definedName>
    <definedName name="BILandFMVA">#REF!</definedName>
    <definedName name="BILandFMVC">#REF!</definedName>
    <definedName name="BILandFMVP">#REF!</definedName>
    <definedName name="BILender1A">#REF!</definedName>
    <definedName name="BILender1C">#REF!</definedName>
    <definedName name="BILender1P">#REF!</definedName>
    <definedName name="BILender2A">#REF!</definedName>
    <definedName name="BILender2C">#REF!</definedName>
    <definedName name="BILender2P">#REF!</definedName>
    <definedName name="BINetCommercialSFA">#REF!</definedName>
    <definedName name="BINetCommercialSFC">#REF!</definedName>
    <definedName name="BINetCommercialSFP">#REF!</definedName>
    <definedName name="BINetSaleableSFA">#REF!</definedName>
    <definedName name="BINetSaleableSFC">#REF!</definedName>
    <definedName name="BINetSaleableSFP">#REF!</definedName>
    <definedName name="BINumberofUnitsA">#REF!</definedName>
    <definedName name="BINumberofUnitsC">#REF!</definedName>
    <definedName name="BINumberofUnitsP">#REF!</definedName>
    <definedName name="BIOther1A">#REF!</definedName>
    <definedName name="BIOther1C">#REF!</definedName>
    <definedName name="BIOther1P">#REF!</definedName>
    <definedName name="BIOther2A">#REF!</definedName>
    <definedName name="BIOther2C">#REF!</definedName>
    <definedName name="BIOther2P">#REF!</definedName>
    <definedName name="BIPartnerA">#REF!</definedName>
    <definedName name="BIPartnerC">#REF!</definedName>
    <definedName name="BIPartnerP">#REF!</definedName>
    <definedName name="BIPreSalesA">#REF!</definedName>
    <definedName name="BIPreSalesC">#REF!</definedName>
    <definedName name="BIPreSalesP">#REF!</definedName>
    <definedName name="BIRepaymentDate1A">#REF!</definedName>
    <definedName name="BIRepaymentDate1C">#REF!</definedName>
    <definedName name="BIRepaymentDate1P">#REF!</definedName>
    <definedName name="BIRepaymentDate2A">#REF!</definedName>
    <definedName name="BIRepaymentDate2C">#REF!</definedName>
    <definedName name="BIRepaymentDate2P">#REF!</definedName>
    <definedName name="BISellOutA">#REF!</definedName>
    <definedName name="BISellOutC">#REF!</definedName>
    <definedName name="BISellOutP">#REF!</definedName>
    <definedName name="BISiteAreaA">#REF!</definedName>
    <definedName name="BISiteAreaC">#REF!</definedName>
    <definedName name="BISiteAreaP">#REF!</definedName>
    <definedName name="BISurfaceParkingA">#REF!</definedName>
    <definedName name="BISurfaceParkingC">#REF!</definedName>
    <definedName name="BISurfaceParkingP">#REF!</definedName>
    <definedName name="biteme">#REF!</definedName>
    <definedName name="BITypeofUnitA">#REF!</definedName>
    <definedName name="BITypeofUnitC">#REF!</definedName>
    <definedName name="BITypeofUnitP">#REF!</definedName>
    <definedName name="BIUndergroundParkingA">#REF!</definedName>
    <definedName name="BIUndergroundParkingC">#REF!</definedName>
    <definedName name="BIUndergroundParkingP">#REF!</definedName>
    <definedName name="bkkk">#REF!</definedName>
    <definedName name="blah">{#N/A,#N/A,TRUE,"10 Yr Hold";#N/A,#N/A,TRUE,"7 Yr Hold";#N/A,#N/A,TRUE,"5 Yr Hold";#N/A,#N/A,TRUE,"3 Yr Hold"}</definedName>
    <definedName name="blah1">{"schedule1",#N/A,FALSE,"Sheet1";"schedule2",#N/A,FALSE,"Sheet1";"schedule3",#N/A,FALSE,"Sheet1";"schedule4",#N/A,FALSE,"Sheet1";"schedule5",#N/A,FALSE,"Sheet1";"schedule6",#N/A,FALSE,"Sheet1"}</definedName>
    <definedName name="BLDG_AREA">#REF!</definedName>
    <definedName name="Bleach_regrowth">#REF!</definedName>
    <definedName name="Blended_Increase_11">#REF!</definedName>
    <definedName name="bloancc">#REF!</definedName>
    <definedName name="Bloom">#REF!</definedName>
    <definedName name="BloombergIndex">#REF!</definedName>
    <definedName name="BloombergRates">#REF!</definedName>
    <definedName name="BMA">#REF!</definedName>
    <definedName name="BMACaps">#REF!</definedName>
    <definedName name="BMACapsIO">#REF!</definedName>
    <definedName name="BMACollars">#REF!</definedName>
    <definedName name="BMACollarsIO">#REF!</definedName>
    <definedName name="BMASwap">#REF!</definedName>
    <definedName name="BMASwap20">#REF!</definedName>
    <definedName name="BMASwaps">#REF!</definedName>
    <definedName name="BMASwapsIO">#REF!</definedName>
    <definedName name="Body">#REF!</definedName>
    <definedName name="Body_Purific_Ritual">#REF!</definedName>
    <definedName name="BOOK_VALUE">#REF!</definedName>
    <definedName name="BORD">#REF!</definedName>
    <definedName name="BORDER">#REF!</definedName>
    <definedName name="BORDER1">#REF!</definedName>
    <definedName name="BORDER2">#REF!</definedName>
    <definedName name="BORDERSUM">#REF!</definedName>
    <definedName name="BotALL1">#REF!</definedName>
    <definedName name="BotALL2">#REF!</definedName>
    <definedName name="BotALL3">#REF!</definedName>
    <definedName name="BotALL4">#REF!</definedName>
    <definedName name="BotALL5">#REF!</definedName>
    <definedName name="BotASR2">#REF!</definedName>
    <definedName name="BotCNS">#REF!</definedName>
    <definedName name="BotCOM">#REF!</definedName>
    <definedName name="BotCON">#REF!</definedName>
    <definedName name="BotCOS">#REF!</definedName>
    <definedName name="BotCTG">#REF!</definedName>
    <definedName name="BotDEV">#REF!</definedName>
    <definedName name="BotFFE">#REF!</definedName>
    <definedName name="BotFIN">#REF!</definedName>
    <definedName name="BotGSP2">#REF!</definedName>
    <definedName name="BotHAO">#REF!</definedName>
    <definedName name="botherinc">#REF!</definedName>
    <definedName name="BotINT1">#REF!</definedName>
    <definedName name="BotINT2">#REF!</definedName>
    <definedName name="BotINT3">#REF!</definedName>
    <definedName name="BotINT4">#REF!</definedName>
    <definedName name="BotL1A">#REF!</definedName>
    <definedName name="BotL1R">#REF!</definedName>
    <definedName name="BotLAN">#REF!</definedName>
    <definedName name="BotLAR">#REF!</definedName>
    <definedName name="BotLNC">#REF!</definedName>
    <definedName name="BotLON">#REF!</definedName>
    <definedName name="BotLON2">#REF!</definedName>
    <definedName name="BotLSG">#REF!</definedName>
    <definedName name="BotMRK">#REF!</definedName>
    <definedName name="BotMRK1">#REF!</definedName>
    <definedName name="BotMRK10">#REF!</definedName>
    <definedName name="BotMRK11">#REF!</definedName>
    <definedName name="BotMRK12">#REF!</definedName>
    <definedName name="BotMRK13">#REF!</definedName>
    <definedName name="BotMRK14">#REF!</definedName>
    <definedName name="BotMRK15">#REF!</definedName>
    <definedName name="BotMRK16">#REF!</definedName>
    <definedName name="BotMRK17">#REF!</definedName>
    <definedName name="BotMRK18">#REF!</definedName>
    <definedName name="BotMRK19">#REF!</definedName>
    <definedName name="BotMRK2">#REF!</definedName>
    <definedName name="BotMRK20">#REF!</definedName>
    <definedName name="BotMRK21">#REF!</definedName>
    <definedName name="BotMRK3">#REF!</definedName>
    <definedName name="BotMRK4">#REF!</definedName>
    <definedName name="BotMRK5">#REF!</definedName>
    <definedName name="BotMRK6">#REF!</definedName>
    <definedName name="BotMRK7">#REF!</definedName>
    <definedName name="BotMRK8">#REF!</definedName>
    <definedName name="BotMRK9">#REF!</definedName>
    <definedName name="BotOHF">#REF!</definedName>
    <definedName name="BotONS">#REF!</definedName>
    <definedName name="BotOSS">#REF!</definedName>
    <definedName name="bottom">#REF!</definedName>
    <definedName name="BotWAR">#REF!</definedName>
    <definedName name="BPDetail_Import_Date">#REF!</definedName>
    <definedName name="bPP">#REF!</definedName>
    <definedName name="breim">#REF!</definedName>
    <definedName name="brentpot">#REF!</definedName>
    <definedName name="breserve">#REF!</definedName>
    <definedName name="brm">#REF!</definedName>
    <definedName name="BrNum">#REF!</definedName>
    <definedName name="Broker">#REF!</definedName>
    <definedName name="Brokerage">#REF!</definedName>
    <definedName name="brokers">#REF!</definedName>
    <definedName name="Brow_Wax">#REF!</definedName>
    <definedName name="bsquarters">#REF!</definedName>
    <definedName name="bsrquarters">#REF!</definedName>
    <definedName name="bstat1">#REF!</definedName>
    <definedName name="btotalcc">#REF!</definedName>
    <definedName name="BUD2004bud">#REF!</definedName>
    <definedName name="Budcash">#REF!</definedName>
    <definedName name="BudCumRds">#REF!</definedName>
    <definedName name="BudDols">#REF!</definedName>
    <definedName name="BudDolsGlf">#REF!</definedName>
    <definedName name="BUDGET">#REF!</definedName>
    <definedName name="BUDGET_STATUS">tblLookups[BudgetStatus]</definedName>
    <definedName name="BUDGET_TYPE" localSheetId="4">tblLookups[BudgetType]</definedName>
    <definedName name="BUDGET_TYPE">tblLookups[BudgetType]</definedName>
    <definedName name="Budget2002">#REF!</definedName>
    <definedName name="BudgetDetailPrintRange">#REF!</definedName>
    <definedName name="BudgetYear">#REF!</definedName>
    <definedName name="BudHrs">#REF!</definedName>
    <definedName name="BudHrsGlf">#REF!</definedName>
    <definedName name="Budqtr">#REF!</definedName>
    <definedName name="budrevcriteriarange">#REF!</definedName>
    <definedName name="budrevdatarange">#REF!</definedName>
    <definedName name="budrevfirstrow">#REF!</definedName>
    <definedName name="budrevlastrow">#REF!</definedName>
    <definedName name="budrevprintrange">#REF!</definedName>
    <definedName name="Budsum">#REF!</definedName>
    <definedName name="builder">{#N/A,#N/A,FALSE,"el.det";#N/A,#N/A,FALSE,"mu.det";#N/A,#N/A,FALSE,"ug.det";#N/A,#N/A,FALSE,"ex.det";#N/A,#N/A,FALSE,"lux.det";#N/A,#N/A,FALSE,"custom.lot";#N/A,#N/A,FALSE,"condo.att";#N/A,#N/A,FALSE,"el.att";#N/A,#N/A,FALSE,"mu.att";#N/A,#N/A,FALSE,"ex.att";#N/A,#N/A,FALSE,"lux.att";#N/A,#N/A,FALSE,"all.by.village"}</definedName>
    <definedName name="Building_2_Barrett_s_Recapture">#REF!</definedName>
    <definedName name="buildings">#REF!</definedName>
    <definedName name="Bullshit">{"Assumptions",#N/A,TRUE,"Returns";"Tables",#N/A,TRUE,"Returns"}</definedName>
    <definedName name="BumpMonth1">BumpYear1*12</definedName>
    <definedName name="BumpYear1">#REF!</definedName>
    <definedName name="BumpYear2">#REF!</definedName>
    <definedName name="BumpYear3">#REF!</definedName>
    <definedName name="BumpYearBelowGrade">#REF!</definedName>
    <definedName name="BUN">#REF!</definedName>
    <definedName name="bunits">#REF!</definedName>
    <definedName name="burden">#REF!</definedName>
    <definedName name="BUYCLOSECOST">#REF!</definedName>
    <definedName name="BuySell">#REF!</definedName>
    <definedName name="BuysOrSells">#REF!</definedName>
    <definedName name="By_Asset_Type_Brochure">#REF!</definedName>
    <definedName name="By_Sale_Year_Summary">#REF!</definedName>
    <definedName name="By_Year_Summary">#REF!</definedName>
    <definedName name="C_">#REF!</definedName>
    <definedName name="C_Equity_Acq_Fee">#REF!</definedName>
    <definedName name="C_Equity_Fee">#REF!</definedName>
    <definedName name="cabl">#REF!</definedName>
    <definedName name="cable">#REF!</definedName>
    <definedName name="cables">#REF!</definedName>
    <definedName name="CADJ1">#REF!</definedName>
    <definedName name="CADJ2">#REF!</definedName>
    <definedName name="CADJ3">#REF!</definedName>
    <definedName name="CADJ4">#REF!</definedName>
    <definedName name="CADJ5">#REF!</definedName>
    <definedName name="CADJ6">#REF!</definedName>
    <definedName name="caf">#REF!</definedName>
    <definedName name="Caissons">#REF!</definedName>
    <definedName name="CAL_AMORT_PER">#REF!</definedName>
    <definedName name="CAL_INT_RATE">#REF!</definedName>
    <definedName name="CAL_PER_PMT">#REF!</definedName>
    <definedName name="CAMCODES">#REF!</definedName>
    <definedName name="CAMRECOVERIES">#REF!</definedName>
    <definedName name="CAMTABLE">#REF!</definedName>
    <definedName name="camtax">#REF!</definedName>
    <definedName name="cap">#REF!</definedName>
    <definedName name="Cap_Ex">#REF!</definedName>
    <definedName name="CAP_RATE">#REF!</definedName>
    <definedName name="Cap30day">#REF!</definedName>
    <definedName name="Cap60day">#REF!</definedName>
    <definedName name="Cap90day">#REF!</definedName>
    <definedName name="CapAccrual1">#REF!</definedName>
    <definedName name="CapAccrual2">#REF!</definedName>
    <definedName name="CapBaseCCY">#REF!</definedName>
    <definedName name="CapBasis1">#REF!</definedName>
    <definedName name="CapBasis2">#REF!</definedName>
    <definedName name="CapBidAsk1">#REF!</definedName>
    <definedName name="CapBidAsk2">#REF!</definedName>
    <definedName name="CapBuySell1">#REF!</definedName>
    <definedName name="CapBuySell2">#REF!</definedName>
    <definedName name="CapCalcStatus">#REF!</definedName>
    <definedName name="CapComponent1">#REF!</definedName>
    <definedName name="CapComponent2">#REF!</definedName>
    <definedName name="CapCurr1">#REF!</definedName>
    <definedName name="CapCurr2">#REF!</definedName>
    <definedName name="CapCurve1">#REF!</definedName>
    <definedName name="CapCurve2">#REF!</definedName>
    <definedName name="CapDateShift">#REF!</definedName>
    <definedName name="CapDisc_spread">#REF!</definedName>
    <definedName name="CapDV011">#REF!</definedName>
    <definedName name="CapDV012">#REF!</definedName>
    <definedName name="CapEffDt">#REF!</definedName>
    <definedName name="CapEffFt">#REF!</definedName>
    <definedName name="CapEx">#REF!</definedName>
    <definedName name="CAPEX_DEPR">#REF!</definedName>
    <definedName name="Capex_Reserve">#REF!</definedName>
    <definedName name="CapExPSF">#REF!</definedName>
    <definedName name="CapFairValue">#REF!</definedName>
    <definedName name="CapFilterCells">#REF!</definedName>
    <definedName name="CapFreq1">#REF!</definedName>
    <definedName name="CapFreq2">#REF!</definedName>
    <definedName name="CapFX1">#REF!</definedName>
    <definedName name="CapFX2">#REF!</definedName>
    <definedName name="CapHeader">#REF!</definedName>
    <definedName name="CapIndex1">#REF!</definedName>
    <definedName name="CapIndex2">#REF!</definedName>
    <definedName name="CapIndexName1">#REF!</definedName>
    <definedName name="CapIndexName2">#REF!</definedName>
    <definedName name="CapIntrinsic">#REF!</definedName>
    <definedName name="CAPITAL">#REF!</definedName>
    <definedName name="CapitalExp">#REF!</definedName>
    <definedName name="CapKeyRate">#REF!</definedName>
    <definedName name="CapLastUpdate">#REF!</definedName>
    <definedName name="CapLength">#REF!</definedName>
    <definedName name="CapMultiplier1">#REF!</definedName>
    <definedName name="CapMultiplier2">#REF!</definedName>
    <definedName name="CapNetAccrued">#REF!</definedName>
    <definedName name="CapNetDV01">#REF!</definedName>
    <definedName name="CapNetVega">#REF!</definedName>
    <definedName name="CapNotional1">#REF!</definedName>
    <definedName name="CapNotional2">#REF!</definedName>
    <definedName name="CapProduct1">#REF!</definedName>
    <definedName name="CapProduct2">#REF!</definedName>
    <definedName name="CapPV01">#REF!</definedName>
    <definedName name="CapPVPmt1">#REF!</definedName>
    <definedName name="CapPVPmt2">#REF!</definedName>
    <definedName name="CapQuoteId">#REF!</definedName>
    <definedName name="CapRate">#REF!</definedName>
    <definedName name="CapReserve">#REF!</definedName>
    <definedName name="CapReset1">#REF!</definedName>
    <definedName name="CapReset2">#REF!</definedName>
    <definedName name="CapRunTime">#REF!</definedName>
    <definedName name="Caps">#REF!</definedName>
    <definedName name="CapShock">#REF!</definedName>
    <definedName name="CapSpread1">#REF!</definedName>
    <definedName name="CapSpread2">#REF!</definedName>
    <definedName name="Capstartdate">#REF!</definedName>
    <definedName name="CapStrike1">#REF!</definedName>
    <definedName name="CapStrike2">#REF!</definedName>
    <definedName name="CapTime">#REF!</definedName>
    <definedName name="CapValue">#REF!</definedName>
    <definedName name="CapValueDate">#REF!</definedName>
    <definedName name="CapVEGA1">#REF!</definedName>
    <definedName name="CapVEGA2">#REF!</definedName>
    <definedName name="CapVolShock">#REF!</definedName>
    <definedName name="capyr">#REF!</definedName>
    <definedName name="Carpentry">#REF!</definedName>
    <definedName name="Carpet">#REF!</definedName>
    <definedName name="Carry_Interest_Shortfall">#REF!</definedName>
    <definedName name="Case">#REF!</definedName>
    <definedName name="Case1">#REF!</definedName>
    <definedName name="Case2">#REF!</definedName>
    <definedName name="Case3">#REF!</definedName>
    <definedName name="Case4">#REF!</definedName>
    <definedName name="cash">#REF!</definedName>
    <definedName name="Cash_Bal">#REF!</definedName>
    <definedName name="CASH_FLOW">#N/A</definedName>
    <definedName name="cash_rec">#REF!</definedName>
    <definedName name="CashFlow">#REF!</definedName>
    <definedName name="cashflow1">#REF!</definedName>
    <definedName name="cashflowdist">#REF!</definedName>
    <definedName name="CashFlowPrintRange">#REF!</definedName>
    <definedName name="cashprint">#REF!</definedName>
    <definedName name="casino160">#REF!</definedName>
    <definedName name="casino160a">#REF!</definedName>
    <definedName name="casino161">#REF!</definedName>
    <definedName name="casino161a">#REF!</definedName>
    <definedName name="casino162">#REF!</definedName>
    <definedName name="casino162a">#REF!</definedName>
    <definedName name="casino163">#REF!</definedName>
    <definedName name="casino163a">#REF!</definedName>
    <definedName name="casino164">#REF!</definedName>
    <definedName name="casino164a">#REF!</definedName>
    <definedName name="casino165">#REF!</definedName>
    <definedName name="casino165a">#REF!</definedName>
    <definedName name="casino166">#REF!</definedName>
    <definedName name="casino166a">#REF!</definedName>
    <definedName name="casino167">#REF!</definedName>
    <definedName name="casino167a">#REF!</definedName>
    <definedName name="casino168">#REF!</definedName>
    <definedName name="casino168a">#REF!</definedName>
    <definedName name="casinopr1">#REF!</definedName>
    <definedName name="casinopr1a">#REF!</definedName>
    <definedName name="casinopr2">#REF!</definedName>
    <definedName name="casinopr2a">#REF!</definedName>
    <definedName name="casinopr3">#REF!</definedName>
    <definedName name="casinopr3a">#REF!</definedName>
    <definedName name="casinopr4">#REF!</definedName>
    <definedName name="casinopr4a">#REF!</definedName>
    <definedName name="casinotx">#REF!</definedName>
    <definedName name="casinotx1">#REF!</definedName>
    <definedName name="Cat">#REF!</definedName>
    <definedName name="CATEGORIES" localSheetId="5">tblCostCodes[Category]</definedName>
    <definedName name="CATEGORIES" localSheetId="4">tblCostCodes[Category]</definedName>
    <definedName name="CATEGORIES">tblCostCodes[Category]</definedName>
    <definedName name="Category">#REF!</definedName>
    <definedName name="catering">#REF!</definedName>
    <definedName name="cb_Add_CalloutChart_24_opts">"1, 9, 1, False, 2, False, False, , 0, False, False, 1, 1"</definedName>
    <definedName name="cb_Add_CalloutChart_25_opts">"1, 10, 1, False, 2, False, False, , 0, False, True, 1, 1"</definedName>
    <definedName name="cb_Add_CalloutChart_26_opts">"1, 9, 1, False, 2, False, False, , 0, False, True, 1, 1"</definedName>
    <definedName name="cb_ALT_STACKED_COLUMNChart_22_opts">"1, 3, 1, False, 2, True, False, , 0, False, True, 1, 2"</definedName>
    <definedName name="cb_ALT_STACKED_COLUMNChart_23_opts">"1, 3, 1, False, 2, True, False, , 0, False, True, 1, 2"</definedName>
    <definedName name="cb_bChart595EC34_opts">"1, 9, 1, False, 2, False, False, , 0, False, True, 1, 1"</definedName>
    <definedName name="cb_bChart9876793_opts">"1, 2, 1, False, 2, False, False, , 0, False, False, 2, 2"</definedName>
    <definedName name="cb_Chart_1_opts">"1, 6, 1, False, 2, False, False, , 0, False, True, 1, 2"</definedName>
    <definedName name="cb_Chart_10_opts">"1, 8, 1, False, 2, False, False, , 0, False, False, 2, 2"</definedName>
    <definedName name="cb_Chart_100032_opts">"1, 10, 1, False, 2, True, False, , 0, False, False, 2, 2"</definedName>
    <definedName name="cb_Chart_10104_opts">"1, 5, 1, False, 2, True, False, , 0, True, False, 2, 1"</definedName>
    <definedName name="cb_Chart_10401_opts">"1, 5, 1, False, 2, False, False, , 0, True, False, 2, 1"</definedName>
    <definedName name="cb_Chart_10736_opts">"1, 10, 1, False, 2, False, False, , 0, False, False, 2, 2"</definedName>
    <definedName name="cb_Chart_11_opts">"1, 1, 1, False, 2, False, False, , 0, False, False, 2, 2"</definedName>
    <definedName name="cb_Chart_12_opts">"1, 8, 1, False, 2, False, False, , 0, False, False, 2, 2"</definedName>
    <definedName name="cb_Chart_13_opts">"1, 8, 1, False, 2, False, False, , 0, False, False, 2, 2"</definedName>
    <definedName name="cb_Chart_14_opts">"1, 8, 1, False, 2, False, False, , 0, False, False, 2, 2"</definedName>
    <definedName name="cb_Chart_15_opts">"2, 1, 2, True, 2, False, False, , 0, False, True, 1, 2"</definedName>
    <definedName name="cb_Chart_1501_opts">"1, 10, 1, False, 2, True, False, , 0, False, False, 2, 2"</definedName>
    <definedName name="cb_Chart_16_opts">"1, 8, 1, False, 2, False, False, , 0, False, False, 2, 2"</definedName>
    <definedName name="cb_Chart_1670_opts">"1, 5, 1, False, 2, True, False, , 0, False, False, 2, 1"</definedName>
    <definedName name="cb_Chart_17_opts">"1, 6, 1, False, 2, False, False, , 0, False, True, 2, 2"</definedName>
    <definedName name="cb_Chart_18_opts">"1, 9, 1, False, 2, False, False, , 0, False, False, 1, 1"</definedName>
    <definedName name="cb_Chart_19_opts">"1, 2, 1, False, 2, True, False, , 0, True, False, 2, 1"</definedName>
    <definedName name="cb_Chart_1opts1">"1, 9, 1, False, 2, False, True, , 1, False, True, 1, 1"</definedName>
    <definedName name="cb_Chart_2_opts">"1, 6, 1, False, 2, False, False, , 0, False, False, 1, 2"</definedName>
    <definedName name="cb_Chart_20_opts">"1, 9, 1, False, 2, False, False, , 0, False, False, 1, 1"</definedName>
    <definedName name="cb_Chart_21_opts">"1, 2, 1, False, 2, False, False, , 0, False, False, 2, 1"</definedName>
    <definedName name="cb_Chart_22_opts">"1, 2, 1, False, 2, True, False, , 0, False, False, 2, 1"</definedName>
    <definedName name="cb_Chart_22784_opts">"1, 9, 1, False, 2, False, False, , 0, False, True, 1, 2"</definedName>
    <definedName name="cb_Chart_23_opts">"1, 9, 1, False, 2, False, False, , 0, False, False, 1, 1"</definedName>
    <definedName name="cb_Chart_24">#REF!</definedName>
    <definedName name="cb_Chart_24_opts">"1, 2, 1, False, 2, False, False, , 0, False, False, 2, 1"</definedName>
    <definedName name="cb_Chart_24490_opts">"1, 10, 1, False, 2, True, False, , 0, False, False, 2, 2"</definedName>
    <definedName name="cb_Chart_25_opts">"1, 3, 1, False, 2, False, False, , 0, True, True, 1, 2"</definedName>
    <definedName name="cb_Chart_26">#REF!</definedName>
    <definedName name="cb_Chart_26_opts">"1, 8, 1, False, 2, False, False, , 0, False, False, 2, 2"</definedName>
    <definedName name="cb_Chart_26476_opts">"1, 1, 1, False, 2, True, False, , 0, False, False, 1, 2"</definedName>
    <definedName name="cb_Chart_27_opts">"1, 1, 1, False, 2, True, False, , 0, False, True, 1, 2"</definedName>
    <definedName name="cb_Chart_28_opts">"1, 3, 1, False, 2, True, False, , 0, False, True, 1, 2"</definedName>
    <definedName name="cb_Chart_28031_opts">"1, 1, 1, False, 2, True, False, , 0, False, False, 1, 2"</definedName>
    <definedName name="cb_Chart_28545_opts">"1, 5, 1, False, 2, True, False, , 0, False, True, 2, 1"</definedName>
    <definedName name="cb_Chart_29_opts">"1, 3, 1, False, 2, False, False, , 0, False, False, 1, 1"</definedName>
    <definedName name="cb_Chart_29053_opts">"1, 10, 1, False, 2, True, False, , 0, False, False, 2, 2"</definedName>
    <definedName name="cb_Chart_29913_opts">"1, 1, 1, False, 2, False, False, , 0, False, False, 1, 1"</definedName>
    <definedName name="cb_Chart_3_opts">"1, 1, 1, False, 2, True, False, , 0, False, False, 2, 2"</definedName>
    <definedName name="cb_Chart_30_opts">"1, 3, 1, False, 2, True, False, , 0, False, True, 1, 2"</definedName>
    <definedName name="cb_Chart_30292_opts">"1, 1, 1, False, 2, False, False, , 0, False, False, 1, 2"</definedName>
    <definedName name="cb_Chart_31_opts">"1, 1, 1, False, 2, True, False, , 0, True, True, 2, 2"</definedName>
    <definedName name="cb_Chart_32_opts">"1, 1, 1, False, 2, True, False, , 0, False, False, 2, 2"</definedName>
    <definedName name="cb_Chart_33_opts">"1, 1, 1, False, 2, True, False, , 0, False, True, 3, 2"</definedName>
    <definedName name="cb_Chart_34_opts">"1, 3, 1, False, 2, True, False, , 0, False, True, 2, 1"</definedName>
    <definedName name="cb_Chart_36498_opts">"1, 1, 1, False, 2, True, False, , 0, False, False, 1, 2"</definedName>
    <definedName name="cb_Chart_37450_opts">"1, 10, 1, False, 2, True, False, , 0, False, False, 2, 2"</definedName>
    <definedName name="cb_Chart_4_opts">"1, 7, 1, False, 2, False, False, , 0, False, True, 1, 2"</definedName>
    <definedName name="cb_Chart_40_opts">"1, 1, 1, False, 2, False, False, , 0, False, False, 3, 2"</definedName>
    <definedName name="cb_Chart_41_opts">"1, 10, 1, False, 2, True, False, , 0, False, False, 2, 1"</definedName>
    <definedName name="cb_Chart_41499_opts">"1, 10, 1, False, 2, True, False, , 0, False, False, 2, 2"</definedName>
    <definedName name="cb_Chart_42_opts">"1, 3, 1, False, 2, True, False, , 0, False, True, 1, 2"</definedName>
    <definedName name="cb_Chart_43_opts">"1, 10, 1, False, 2, True, False, , 0, False, False, 2, 1"</definedName>
    <definedName name="cb_Chart_4634_opts">"1, 10, 1, False, 2, True, False, , 0, False, False, 2, 2"</definedName>
    <definedName name="cb_Chart_4664_opts">"1, 5, 1, False, 2, True, False, , 0, False, True, 1, 2"</definedName>
    <definedName name="cb_Chart_46965_opts">"1, 1, 1, False, 2, False, False, , 0, False, False, 1, 1"</definedName>
    <definedName name="cb_Chart_48_opts">"2, 1, 2, True, 2, False, False, , 0, False, True, 1, 1"</definedName>
    <definedName name="cb_Chart_49_opts">"2, 1, 2, True, 2, False, False, , 0, False, True, 1, 1"</definedName>
    <definedName name="cb_Chart_5">#REF!</definedName>
    <definedName name="cb_Chart_5_opts">"1, 8, 1, False, 2, False, False, , 0, False, False, 1, 2"</definedName>
    <definedName name="cb_Chart_50_opts">"2, 1, 2, True, 2, False, False, , 0, False, True, 1, 1"</definedName>
    <definedName name="cb_Chart_51_opts">"1, 2, 1, False, 2, False, False, , 0, False, False, 2, 1"</definedName>
    <definedName name="cb_Chart_52_opts">"1, 2, 1, False, 2, False, False, , 0, False, False, 2, 1"</definedName>
    <definedName name="cb_Chart_52582_opts">"1, 1, 1, False, 2, False, False, , 0, False, False, 1, 2"</definedName>
    <definedName name="cb_Chart_53_opts">"1, 9, 1, False, 2, False, True, , 3, False, False, 1, 1"</definedName>
    <definedName name="cb_Chart_53437_opts">"1, 10, 1, False, 2, True, False, , 0, False, False, 2, 2"</definedName>
    <definedName name="cb_Chart_53482_opts">"1, 10, 1, False, 2, True, False, , 0, False, False, 2, 2"</definedName>
    <definedName name="cb_Chart_54_opts">"1, 2, 1, False, 2, False, False, , 0, False, False, 2, 1"</definedName>
    <definedName name="cb_Chart_5449_opts">"1, 1, 1, False, 2, False, False, , 0, False, False, 1, 1"</definedName>
    <definedName name="cb_Chart_55_opts">"1, 7, 1, False, 2, False, False, , 0, False, True, 2, 2"</definedName>
    <definedName name="cb_Chart_5723_opts">"1, 1, 1, False, 2, True, False, , 0, False, True, 1, 2"</definedName>
    <definedName name="cb_Chart_57613_opts">"1, 5, 1, False, 2, True, False, , 0, False, True, 2, 1"</definedName>
    <definedName name="cb_Chart_58046_opts">"1, 10, 1, False, 2, True, False, , 0, False, False, 2, 2"</definedName>
    <definedName name="cb_Chart_59010_opts">"1, 2, 1, False, 2, False, False, , 0, False, False, 2, 1"</definedName>
    <definedName name="cb_Chart_59340_opts">"1, 1, 1, False, 2, False, False, , 0, False, False, 1, 1"</definedName>
    <definedName name="cb_Chart_6">#REF!</definedName>
    <definedName name="cb_Chart_6_opts">"1, 10, 1, False, 2, True, False, , 0, False, False, 2, 2"</definedName>
    <definedName name="cb_Chart_62364_opts">"1, 1, 1, False, 2, True, False, , 0, False, False, 1, 2"</definedName>
    <definedName name="cb_Chart_64876_opts">"1, 1, 1, False, 2, True, False, , 0, False, False, 1, 2"</definedName>
    <definedName name="cb_Chart_66_opts">"1, 1, 1, False, 2, False, False, , 0, False, False, 1, 1"</definedName>
    <definedName name="cb_Chart_67711_opts">"1, 10, 1, False, 2, True, False, , 0, False, False, 2, 2"</definedName>
    <definedName name="cb_Chart_69605_opts">"1, 2, 1, False, 2, False, False, , 0, False, False, 2, 1"</definedName>
    <definedName name="cb_Chart_7">#REF!</definedName>
    <definedName name="cb_Chart_7_opts">"2, 1, 2, True, 2, False, False, , 0, False, True, 1, 2"</definedName>
    <definedName name="cb_Chart_70_opts">"1, 10, 1, False, 2, True, False, , 0, False, False, 1, 1"</definedName>
    <definedName name="cb_Chart_70648_opts">"1, 1, 1, False, 2, True, False, , 0, False, False, 2, 2"</definedName>
    <definedName name="cb_Chart_70997_opts">"1, 10, 1, False, 2, False, False, , 0, False, False, 1, 1"</definedName>
    <definedName name="cb_Chart_71_opts">"1, 10, 1, False, 2, False, False, , 0, False, False, 1, 1"</definedName>
    <definedName name="cb_Chart_72_opts">"1, 10, 1, False, 2, True, False, , 0, False, False, 1, 1"</definedName>
    <definedName name="cb_Chart_73_opts">"1, 10, 1, False, 2, False, False, , 0, False, False, 1, 1"</definedName>
    <definedName name="cb_Chart_76165_opts">"1, 10, 1, False, 2, True, False, , 0, False, False, 2, 2"</definedName>
    <definedName name="cb_Chart_76804_opts">"1, 1, 1, False, 2, False, False, , 0, False, False, 1, 1"</definedName>
    <definedName name="cb_Chart_77567_opts">"1, 10, 1, False, 2, False, False, , 0, False, False, 1, 1"</definedName>
    <definedName name="cb_Chart_79140_opts">"1, 10, 1, False, 2, True, False, , 0, False, False, 2, 2"</definedName>
    <definedName name="cb_Chart_79981_opts">"1, 5, 1, False, 2, True, False, , 0, True, False, 2, 1"</definedName>
    <definedName name="cb_Chart_8_opts">"1, 7, 1, False, 2, False, False, , 0, False, True, 2, 2"</definedName>
    <definedName name="cb_Chart_81541_opts">"1, 10, 1, False, 2, True, False, , 0, False, False, 2, 2"</definedName>
    <definedName name="cb_Chart_82552_opts">"1, 1, 1, False, 2, True, False, , 0, False, False, 1, 2"</definedName>
    <definedName name="cb_Chart_83072_opts">"1, 1, 1, False, 2, True, False, , 0, False, False, 1, 2"</definedName>
    <definedName name="cb_Chart_86354_opts">"1, 10, 1, False, 2, False, False, , 0, False, False, 1, 1"</definedName>
    <definedName name="cb_Chart_87236_opts">"1, 1, 1, False, 2, True, False, , 0, False, False, 1, 2"</definedName>
    <definedName name="cb_Chart_9_opts">"1, 8, 1, False, 2, False, False, , 0, False, False, 1, 1"</definedName>
    <definedName name="cb_Chart_91188_opts">"1, 8, 1, False, 2, False, False, , 0, False, False, 1, 2"</definedName>
    <definedName name="cb_Chart_95047_opts">"1, 1, 1, False, 2, False, False, , 0, False, False, 1, 2"</definedName>
    <definedName name="cb_Chart_96286_opts">"1, 10, 1, False, 2, True, False, , 0, False, False, 2, 2"</definedName>
    <definedName name="cb_Chart_98091_opts">"1, 2, 1, False, 2, False, False, , 0, False, False, 2, 1"</definedName>
    <definedName name="cb_Chart_98700_opts">"1, 8, 1, False, 2, False, False, , 0, False, False, 1, 2"</definedName>
    <definedName name="cb_Copy_Chart_w_New_DataChart_10_opts">"2, 1, 1, True, 4, False, False, , 0, False, False, 2, 2"</definedName>
    <definedName name="cb_Copy_Chart_w_New_DataChart_7_opts">"2, 1, 1, True, 4, False, False, , 0, False, False, 2, 2"</definedName>
    <definedName name="cb_Copy_Chart_w_New_DataChart_8_opts">"2, 1, 1, True, 4, False, False, , 0, False, False, 2, 2"</definedName>
    <definedName name="cb_Copy_Chart_w_New_DataChart_9_opts">"2, 1, 1, True, 4, False, False, , 0, False, False, 2, 2"</definedName>
    <definedName name="cb_Dimension_Pie_ChartsChart_1_opts">"1, 1, 1, False, 2, True, False, , 0, False, False, 2, 2"</definedName>
    <definedName name="cb_Dimension_Pie_ChartsChart_2_opts">"1, 10, 1, False, 2, True, False, , 0, False, False, 2, 2"</definedName>
    <definedName name="cb_Export_LegendChart_14_opts">"1, 10, 1, False, 2, True, False, , 0, False, False, 2, 2"</definedName>
    <definedName name="cb_Export_LegendChart_15_opts">"1, 10, 1, False, 2, True, False, , 0, False, False, 2, 2"</definedName>
    <definedName name="cb_PieChart_16_opts">"1, 10, 1, False, 2, True, False, , 0, False, False, 2, 2"</definedName>
    <definedName name="cb_sChart_1501_opts">"1, 1, 1, False, 2, True, False, , 0, False, False, 1, 2"</definedName>
    <definedName name="cb_sChart_26476_opts">"1, 4, 1, False, 2, True, False, , 0, False, False, 1, 2"</definedName>
    <definedName name="cb_sChart_28031_opts">"1, 4, 1, False, 2, True, False, , 0, False, False, 1, 1"</definedName>
    <definedName name="cb_sChart_29053_opts">"1, 2, 1, False, 2, False, False, , 0, False, False, 2, 1"</definedName>
    <definedName name="cb_sChart_29913_opts">"1, 3, 1, False, 2, False, False, , 0, False, True, 2, 2"</definedName>
    <definedName name="cb_sChart_30292_opts">"1, 1, 1, False, 2, True, False, , 0, False, False, 1, 2"</definedName>
    <definedName name="cb_sChart_36498_opts">"1, 3, 1, False, 2, False, False, , 0, False, False, 1, 2"</definedName>
    <definedName name="cb_sChart_37450_opts">"1, 5, 1, False, 2, True, False, , 0, False, True, 2, 1"</definedName>
    <definedName name="cb_sChart_41499_opts">"1, 2, 1, False, 2, False, False, , 0, False, False, 2, 1"</definedName>
    <definedName name="cb_sChart_4634_opts">"1, 2, 1, False, 2, False, False, , 0, False, False, 2, 1"</definedName>
    <definedName name="cb_sChart_46965_opts">"1, 1, 1, False, 2, False, False, , 0, False, False, 1, 1"</definedName>
    <definedName name="cb_sChart_52582_opts">"1, 5, 1, False, 2, False, False, , 0, False, True, 1, 2"</definedName>
    <definedName name="cb_sChart_53437_opts">"1, 9, 1, False, 2, False, False, , 0, False, True, 2, 2"</definedName>
    <definedName name="cb_sChart_5449_opts">"1, 3, 1, False, 2, False, False, , 0, False, True, 2, 2"</definedName>
    <definedName name="cb_sChart_5723_opts">"1, 3, 1, False, 2, False, False, , 0, False, True, 2, 2"</definedName>
    <definedName name="cb_sChart_58046_opts">"1, 9, 1, False, 2, False, False, , 0, False, True, 2, 2"</definedName>
    <definedName name="cb_sChart_59010_opts">"1, 5, 1, False, 2, True, False, , 0, False, False, 2, 1"</definedName>
    <definedName name="cb_sChart_59340_opts">"1, 3, 1, False, 2, False, False, , 0, False, True, 2, 2"</definedName>
    <definedName name="cb_sChart_62364_opts">"1, 3, 1, False, 2, False, False, , 0, False, True, 2, 2"</definedName>
    <definedName name="cb_sChart_64876_opts">"1, 5, 1, False, 2, True, False, , 0, False, False, 2, 2"</definedName>
    <definedName name="cb_sChart_70648_opts">"1, 8, 1, False, 2, False, False, , 0, False, False, 2, 2"</definedName>
    <definedName name="cb_sChart_70997_opts">"1, 2, 1, False, 2, False, False, , 0, False, False, 2, 1"</definedName>
    <definedName name="cb_sChart_76165_opts">"1, 2, 1, False, 2, False, False, , 0, False, False, 2, 1"</definedName>
    <definedName name="cb_sChart_76804_opts">"1, 3, 1, False, 2, False, False, , 0, False, True, 2, 2"</definedName>
    <definedName name="cb_sChart_77567_opts">"1, 1, 1, False, 2, True, False, , 0, False, False, 1, 2"</definedName>
    <definedName name="cb_sChart_79140_opts">"1, 5, 1, False, 2, False, False, , 0, False, True, 2, 1"</definedName>
    <definedName name="cb_sChart_81541_opts">"1, 2, 1, False, 2, False, False, , 0, False, False, 2, 1"</definedName>
    <definedName name="cb_sChart_82552_opts">"1, 4, 1, False, 2, True, False, , 0, False, False, 2, 1"</definedName>
    <definedName name="cb_sChart_83072_opts">"1, 4, 1, False, 2, True, False, , 0, False, False, 2, 1"</definedName>
    <definedName name="cb_sChart_86354_opts">"1, 4, 1, False, 2, True, False, , 0, False, False, 1, 1"</definedName>
    <definedName name="cb_sChart_87236_opts">"1, 1, 1, False, 2, False, False, , 0, False, False, 1, 1"</definedName>
    <definedName name="cb_sChart_95047_opts">"1, 6, 1, False, 2, False, False, , 0, False, True, 2, 2"</definedName>
    <definedName name="cb_sChart_96286_opts">"1, 2, 1, False, 2, False, False, , 0, False, False, 2, 1"</definedName>
    <definedName name="cb_sChart105F0196_opts">"1, 2, 1, False, 2, False, False, , 1, False, False, 2, 1"</definedName>
    <definedName name="cb_sChart12D83A2_opts">"1, 1, 1, False, 2, False, False, , 0, False, True, 2, 2"</definedName>
    <definedName name="cb_sChart12D852C_opts">"1, 1, 1, False, 2, False, False, , 0, False, True, 2, 2"</definedName>
    <definedName name="cb_sChart12D89EB_opts">"1, 1, 1, False, 2, False, False, , 0, False, True, 2, 2"</definedName>
    <definedName name="cb_sChart12DAD51_opts">"1, 1, 1, False, 2, False, False, , 0, False, True, 2, 2"</definedName>
    <definedName name="cb_sChart12E7B7B_opts">"1, 1, 1, False, 2, True, False, , 0, False, True, 2, 2"</definedName>
    <definedName name="cb_sChart12E83C1_opts">"1, 1, 1, False, 2, False, False, , 0, False, True, 2, 1"</definedName>
    <definedName name="cb_sChart12E85B3_opts">"1, 1, 1, False, 2, False, False, , 0, False, True, 2, 2"</definedName>
    <definedName name="cb_sChart12E8C9E_opts">"1, 2, 1, False, 2, False, False, , 0, False, False, 2, 1"</definedName>
    <definedName name="cb_sChart12EA8E0_opts">"1, 1, 1, False, 2, True, False, , 0, False, False, 2, 2"</definedName>
    <definedName name="cb_sChart12EB078_opts">"1, 1, 1, False, 2, False, False, , 0, False, False, 2, 2"</definedName>
    <definedName name="cb_sChart12EBD15_opts">"1, 1, 1, False, 2, False, False, , 0, False, False, 2, 2"</definedName>
    <definedName name="cb_sChart12FE48A_opts">"1, 2, 1, False, 2, False, False, , 0, False, False, 2, 1"</definedName>
    <definedName name="cb_sChart12FE9EB_opts">"1, 1, 1, False, 2, False, False, , 0, False, False, 1, 2"</definedName>
    <definedName name="cb_sChart12FEDFD_opts">"1, 1, 1, False, 2, False, False, , 0, False, False, 1, 2"</definedName>
    <definedName name="cb_sChart12FF231_opts">"1, 1, 1, False, 2, False, False, , 0, False, False, 1, 2"</definedName>
    <definedName name="cb_sChart12FF8BF_opts">"1, 1, 1, False, 2, False, False, , 0, False, False, 1, 2"</definedName>
    <definedName name="cb_sChart12FF933_opts">"1, 3, 1, False, 2, False, False, , 0, False, False, 1, 2"</definedName>
    <definedName name="cb_sChart12FFC46_opts">"1, 1, 1, False, 2, False, False, , 0, False, False, 1, 2"</definedName>
    <definedName name="cb_sChart181DCCD8_opts">"1, 9, 1, False, 2, False, False, , 0, False, True, 1, 2"</definedName>
    <definedName name="cb_sChart181DCFF7_opts">"1, 3, 1, False, 2, True, False, , 0, True, True, 2, 1"</definedName>
    <definedName name="cb_sChart181DDD93_opts">"1, 3, 1, False, 2, True, False, , 0, True, True, 2, 1"</definedName>
    <definedName name="cb_sChart181DDEEE_opts">"1, 3, 1, False, 2, True, False, , 0, True, True, 2, 1"</definedName>
    <definedName name="cb_sChart181DE1C7_opts">"1, 10, 1, False, 2, True, False, , 0, False, True, 2, 1"</definedName>
    <definedName name="cb_sChart181E8791_opts">"2, 1, 2, True, 2, True, False, , 0, False, True, 1, 2"</definedName>
    <definedName name="cb_sChart181E96D9_opts">"1, 9, 1, False, 2, False, False, , 0, False, True, 1, 2"</definedName>
    <definedName name="cb_sChart1B7AB11_opts">"1, 7, 1, False, 2, False, False, , 0, False, True, 1, 1"</definedName>
    <definedName name="cb_sChart1B7ECF0_opts">"1, 9, 1, False, 2, False, False, , 0, False, False, 1, 1"</definedName>
    <definedName name="cb_sChart1B8AF1F_opts">"1, 9, 1, False, 2, False, True, , 0, False, False, 1, 1"</definedName>
    <definedName name="cb_sChart1B99DE1_opts">"1, 7, 1, False, 2, False, False, , 0, False, True, 1, 2"</definedName>
    <definedName name="cb_sChart1BA8AA_opts">"1, 1, 1, False, 2, False, False, , 0, False, False, 1, 2"</definedName>
    <definedName name="cb_sChart1BADD1_opts">"1, 1, 1, False, 2, False, False, , 0, False, False, 2, 2"</definedName>
    <definedName name="cb_sChart1CAAAF_opts">"1, 1, 1, False, 2, False, False, , 0, False, False, 3, 2"</definedName>
    <definedName name="cb_sChart1D05BD_opts">"1, 4, 1, False, 2, True, False, , 0, False, False, 2, 1"</definedName>
    <definedName name="cb_sChart1D0E49_opts">"1, 1, 1, False, 2, True, False, , 0, False, True, 2, 1"</definedName>
    <definedName name="cb_sChart1D0EF7_opts">"1, 5, 1, False, 2, True, False, , 0, False, True, 2, 1"</definedName>
    <definedName name="cb_sChart1D3AE8_opts">"1, 6, 1, False, 2, False, False, , 0, False, True, 2, 2"</definedName>
    <definedName name="cb_sChart1D3EEF_opts">"1, 7, 1, False, 2, False, False, , 0, False, True, 2, 2"</definedName>
    <definedName name="cb_sChart1D41EA_opts">"1, 8, 1, False, 2, False, False, , 0, False, False, 2, 2"</definedName>
    <definedName name="cb_sChart1D5891_opts">"1, 9, 1, False, 2, False, False, , 0, False, True, 2, 2"</definedName>
    <definedName name="cb_sChart1D9CE2_opts">"1, 10, 1, False, 2, True, False, , 0, False, False, 2, 2"</definedName>
    <definedName name="cb_sChart1DA03A_opts">"2, 1, 1, True, 3, False, False, , 0, False, True, 1, 2"</definedName>
    <definedName name="cb_sChart1DA590_opts">"2, 1, 1, True, 3, False, False, , 0, False, True, 2, 2"</definedName>
    <definedName name="cb_sChart1DBAAD_opts">"2, 1, 2, True, 2, False, False, , 0, False, True, 1, 2"</definedName>
    <definedName name="cb_sChart1DBB89_opts">"2, 1, 2, True, 2, False, False, , 0, False, True, 1, 1"</definedName>
    <definedName name="cb_sChart1DCA97_opts">"2, 1, 1, True, 2, False, False, , 0, False, True, 2, 1"</definedName>
    <definedName name="cb_sChart1DCCF1_opts">"2, 1, 1, True, 2, False, False, , 0, False, True, 1, 2"</definedName>
    <definedName name="cb_sChart1E1206_opts">"2, 1, 3, False, 2, False, False, , 0, False, True, 2, 2"</definedName>
    <definedName name="cb_sChart1E17F2_opts">"1, 9, 1, False, 2, False, False, , 0, False, True, 1, 1"</definedName>
    <definedName name="cb_sChart1E2D49_opts">"1, 10, 1, False, 2, True, False, , 0, False, False, 3, 2"</definedName>
    <definedName name="cb_sChart1E2DEB_opts">"1, 10, 1, False, 2, True, False, , 0, False, False, 2, 2"</definedName>
    <definedName name="cb_sChart1E3944_opts">"1, 10, 1, False, 2, True, False, , 0, False, False, 2, 2"</definedName>
    <definedName name="cb_sChart1E3BE4_opts">"1, 10, 1, False, 2, True, False, , 0, False, False, 2, 2"</definedName>
    <definedName name="cb_sChart1E3E3D_opts">"1, 10, 1, False, 2, True, False, , 0, False, False, 1, 2"</definedName>
    <definedName name="cb_sChart1E4314_opts">"1, 10, 1, False, 2, True, False, , 0, False, False, 2, 2"</definedName>
    <definedName name="cb_sChart1E4E56_opts">"1, 1, 1, False, 2, False, False, , 0, False, False, 2, 2"</definedName>
    <definedName name="cb_sChart1E5372_opts">"1, 1, 1, False, 2, True, False, , 0, False, True, 2, 2"</definedName>
    <definedName name="cb_sChart1E5975_opts">"2, 1, 2, True, 2, False, False, , 0, False, True, 1, 2"</definedName>
    <definedName name="cb_sChart1E5C43_opts">"2, 1, 2, True, 2, False, False, , 0, False, True, 2, 2"</definedName>
    <definedName name="cb_sChart1E5F4A_opts">"2, 1, 2, True, 2, False, False, , 0, False, True, 1, 2"</definedName>
    <definedName name="cb_sChart23F891A_opts">"1, 9, 1, False, 2, False, False, , 0, False, True, 1, 1"</definedName>
    <definedName name="cb_sChart24ED245_opts">"1, 9, 1, False, 2, False, False, , 0, False, True, 1, 1"</definedName>
    <definedName name="cb_sChart24ED930_opts">"1, 9, 1, False, 2, False, False, , 0, False, False, 1, 1"</definedName>
    <definedName name="cb_sChart26CA498_opts">"1, 9, 1, False, 2, False, False, , 0, False, False, 1, 1"</definedName>
    <definedName name="cb_sChart27D31D5_opts">"1, 9, 1, False, 2, False, False, , 0, False, True, 1, 1"</definedName>
    <definedName name="cb_sChart27D3990_opts">"1, 9, 1, False, 2, False, False, , 0, False, True, 1, 1"</definedName>
    <definedName name="cb_sChart2A64D8F_opts">"1, 8, 1, False, 2, False, False, , 0, False, True, 1, 1"</definedName>
    <definedName name="cb_sChart2A65748_opts">"1, 8, 1, False, 2, False, False, , 0, False, True, 1, 1"</definedName>
    <definedName name="cb_sChart2A667D4_opts">"1, 8, 1, False, 2, False, False, , 0, False, True, 1, 1"</definedName>
    <definedName name="cb_sChart2A66D9D_opts">"1, 8, 1, False, 2, False, False, , 0, False, True, 1, 1"</definedName>
    <definedName name="cb_sChart2A67124_opts">"2, 1, 3, False, 2, False, False, , 0, False, True, 1, 1"</definedName>
    <definedName name="cb_sChart2A673A1_opts">"1, 8, 1, False, 2, False, False, , 0, False, True, 1, 1"</definedName>
    <definedName name="cb_sChart2A67A0C_opts">"1, 8, 1, False, 2, False, False, , 0, False, True, 1, 1"</definedName>
    <definedName name="cb_sChart2A68670_opts">"1, 8, 1, False, 2, False, False, , 0, False, True, 1, 1"</definedName>
    <definedName name="cb_sChart2A6C43D_opts">"1, 9, 1, False, 2, False, False, , 0, False, True, 1, 1"</definedName>
    <definedName name="cb_sChart2A74E8A_opts">"1, 9, 1, False, 2, False, False, , 0, False, True, 1, 1"</definedName>
    <definedName name="cb_sChart2A76BA8_opts">"1, 9, 1, False, 2, False, False, , 0, False, True, 1, 1"</definedName>
    <definedName name="cb_sChart2D6F93B_opts">"1, 9, 1, False, 2, False, False, , 0, False, True, 1, 1"</definedName>
    <definedName name="cb_sChart2D714FE_opts">"1, 9, 1, False, 2, False, False, , 0, False, True, 1, 2"</definedName>
    <definedName name="cb_sChart2D737E5_opts">"1, 9, 1, False, 2, False, False, , 0, False, False, 1, 2"</definedName>
    <definedName name="cb_sChart2D73A28_opts">"1, 9, 1, False, 2, False, False, , 0, False, True, 1, 1"</definedName>
    <definedName name="cb_sChart2D759D9_opts">"1, 10, 1, False, 2, False, False, , 0, False, False, 1, 2"</definedName>
    <definedName name="cb_sChart2D76823_opts">"1, 9, 1, False, 2, False, False, , 0, False, True, 1, 2"</definedName>
    <definedName name="cb_sChart2D76BFA_opts">"1, 9, 1, False, 2, False, False, , 0, False, True, 1, 2"</definedName>
    <definedName name="cb_sChart2D9FB96_opts">"1, 9, 1, False, 2, False, False, , 0, False, True, 1, 2"</definedName>
    <definedName name="cb_sChart2D9FE6F_opts">"1, 9, 1, False, 2, False, False, , 0, False, True, 1, 2"</definedName>
    <definedName name="cb_sChart2DA6F48_opts">"1, 9, 1, False, 2, False, False, , 0, False, True, 1, 2"</definedName>
    <definedName name="cb_sChart2DAB5B8_opts">"1, 7, 1, False, 2, False, False, , 0, False, True, 1, 1"</definedName>
    <definedName name="cb_sChart2DAC2D5_opts">"1, 7, 1, False, 2, False, False, , 0, False, True, 1, 1"</definedName>
    <definedName name="cb_sChart2DADDDE_opts">"1, 7, 1, False, 2, False, False, , 0, False, False, 1, 1"</definedName>
    <definedName name="cb_sChart2DADE5D_opts">"1, 7, 1, False, 2, False, False, , 0, False, True, 1, 1"</definedName>
    <definedName name="cb_sChart2DAF358_opts">"1, 7, 1, False, 2, False, False, , 0, False, True, 1, 1"</definedName>
    <definedName name="cb_sChart2DB05D6_opts">"1, 7, 1, False, 2, False, False, , 0, False, True, 1, 1"</definedName>
    <definedName name="cb_sChart2DBCB46_opts">"1, 7, 1, False, 2, False, False, , 0, False, True, 1, 1"</definedName>
    <definedName name="cb_sChart2E6278B_opts">"1, 9, 1, False, 2, False, False, , 0, False, True, 1, 1"</definedName>
    <definedName name="cb_sChart2EB0678_opts">"1, 1, 1, False, 2, True, False, , 0, False, True, 2, 2"</definedName>
    <definedName name="cb_sChart2F3EBCE_opts">"2, 1, 1, False, 2, False, False, , 0, False, True, 2, 2"</definedName>
    <definedName name="cb_sChart2F3F63F_opts">"1, 5, 1, False, 2, True, False, , 0, False, False, 1, 1"</definedName>
    <definedName name="cb_sChart2F3F90D_opts">"1, 5, 1, False, 2, True, False, , 0, False, False, 2, 2"</definedName>
    <definedName name="cb_sChart2F46DBE_opts">"2, 1, 1, True, 2, False, False, , 0, False, True, 1, 2"</definedName>
    <definedName name="cb_sChart2F470D1_opts">"2, 1, 1, False, 2, True, False, , 0, False, True, 1, 2"</definedName>
    <definedName name="cb_sChart2F4952A_opts">"1, 5, 1, False, 2, False, False, , 0, False, False, 1, 1"</definedName>
    <definedName name="cb_sChart2F49CDA_opts">"1, 5, 1, False, 2, False, False, , 0, False, False, 1, 1"</definedName>
    <definedName name="cb_sChart2F4A3D0_opts">"1, 5, 1, False, 2, False, False, , 0, False, False, 1, 1"</definedName>
    <definedName name="cb_sChart2F4A9B1_opts">"1, 5, 1, False, 2, False, False, , 0, False, False, 1, 1"</definedName>
    <definedName name="cb_sChart2F65E86_opts">"1, 1, 1, False, 2, True, False, , 0, False, False, 2, 2"</definedName>
    <definedName name="cb_sChart2F6A8C2_opts">"1, 1, 1, False, 2, True, False, , 0, False, False, 1, 2"</definedName>
    <definedName name="cb_sChart2F6AAB4_opts">"1, 1, 1, False, 2, True, False, , 0, False, True, 1, 2"</definedName>
    <definedName name="cb_sChart2F6B601_opts">"1, 1, 1, False, 2, False, False, , 0, False, False, 1, 1"</definedName>
    <definedName name="cb_sChart2F730C1_opts">"1, 4, 1, False, 2, False, False, , 0, False, False, 1, 1"</definedName>
    <definedName name="cb_sChart2FA9A3C_opts">"1, 3, 1, False, 2, False, False, , 0, False, True, 1, 2"</definedName>
    <definedName name="cb_sChart2FA9CC4_opts">"1, 3, 1, False, 2, False, False, , 0, False, True, 1, 2"</definedName>
    <definedName name="cb_sChart33FC2FF_opts">"1, 5, 1, False, 2, False, False, , 0, False, False, 1, 2"</definedName>
    <definedName name="cb_sChart33FC8D4_opts">"1, 5, 1, False, 2, False, False, , 0, False, False, 1, 2"</definedName>
    <definedName name="cb_sChart33FE8BF_opts">"1, 5, 1, False, 2, False, False, , 0, False, False, 1, 2"</definedName>
    <definedName name="cb_sChart34010F1_opts">"1, 5, 1, False, 2, False, False, , 0, False, False, 1, 2"</definedName>
    <definedName name="cb_sChart3401AFA_opts">"1, 5, 1, False, 2, False, False, , 0, False, False, 1, 2"</definedName>
    <definedName name="cb_sChart3409186_opts">"1, 5, 1, False, 2, False, False, , 0, False, False, 1, 2"</definedName>
    <definedName name="cb_sChart340A263_opts">"1, 5, 1, False, 2, False, False, , 0, False, False, 1, 1"</definedName>
    <definedName name="cb_sChart340F629_opts">"1, 8, 1, False, 2, False, False, , 0, False, False, 1, 2"</definedName>
    <definedName name="cb_sChart340FD14_opts">"1, 8, 1, False, 2, False, False, , 0, False, False, 1, 2"</definedName>
    <definedName name="cb_sChart34107E2_opts">"1, 8, 1, False, 2, False, False, , 0, False, False, 1, 1"</definedName>
    <definedName name="cb_sChart3434ED7_opts">"1, 5, 1, False, 2, False, False, , 0, False, False, 1, 2"</definedName>
    <definedName name="cb_sChart343DEED_opts">"2, 1, 2, True, 2, False, False, , 0, False, True, 1, 2"</definedName>
    <definedName name="cb_sChart344EE9A_opts">"1, 9, 1, False, 2, False, False, , 0, False, True, 1, 1"</definedName>
    <definedName name="cb_sChart344F24F_opts">"1, 9, 1, False, 2, False, False, , 0, False, True, 1, 2"</definedName>
    <definedName name="cb_sChart3450777_opts">"1, 9, 1, False, 2, False, True, 13, 2, False, False, 1, 1"</definedName>
    <definedName name="cb_sChart3450E85_opts">"1, 9, 1, False, 2, False, False, , 0, False, True, 1, 2"</definedName>
    <definedName name="cb_sChart3452C22_opts">"1, 3, 1, False, 2, False, False, , 0, False, True, 1, 2"</definedName>
    <definedName name="cb_sChart345311B_opts">"1, 3, 1, False, 2, False, False, , 0, False, True, 1, 2"</definedName>
    <definedName name="cb_sChart3453B0D_opts">"2, 1, 1, True, 2, False, False, , 0, False, True, 1, 2"</definedName>
    <definedName name="cb_sChart34647CA_opts">"1, 8, 1, False, 2, False, False, , 0, False, False, 2, 2"</definedName>
    <definedName name="cb_sChart346520D_opts">"1, 8, 1, False, 2, False, False, , 0, False, False, 1, 2"</definedName>
    <definedName name="cb_sChart34654DB_opts">"1, 8, 1, False, 2, False, False, , 0, False, False, 1, 2"</definedName>
    <definedName name="cb_sChart346953C_opts">"2, 1, 1, False, 2, False, False, , 0, False, False, 2, 2"</definedName>
    <definedName name="cb_sChart346A27B_opts">"1, 3, 1, False, 2, False, False, , 0, False, True, 2, 2"</definedName>
    <definedName name="cb_sChart347102A_opts">"2, 1, 1, False, 2, False, False, , 0, False, True, 2, 2"</definedName>
    <definedName name="cb_sChart34E448E_opts">"1, 1, 1, False, 2, False, False, , 0, False, False, 1, 1"</definedName>
    <definedName name="cb_sChart34F5376_opts">"2, 1, 2, True, 2, False, False, , 0, False, True, 1, 2"</definedName>
    <definedName name="cb_sChart34F577C_opts">"2, 1, 2, True, 2, False, False, , 0, False, True, 1, 2"</definedName>
    <definedName name="cb_sChart34F5A05_opts">"2, 1, 2, True, 2, False, False, , 0, False, True, 1, 2"</definedName>
    <definedName name="cb_sChart34F5F2C_opts">"2, 1, 2, True, 2, False, False, , 0, False, True, 1, 2"</definedName>
    <definedName name="cb_sChart34F92FC_opts">"1, 1, 1, False, 2, True, False, , 0, False, False, 1, 2"</definedName>
    <definedName name="cb_sChart34F9B08_opts">"1, 4, 1, False, 2, False, False, , 0, False, False, 1, 1"</definedName>
    <definedName name="cb_sChart34FAEB3_opts">"1, 3, 1, False, 2, False, False, , 0, False, True, 1, 1"</definedName>
    <definedName name="cb_sChart34FB053_opts">"1, 3, 1, False, 2, True, False, , 0, False, False, 1, 1"</definedName>
    <definedName name="cb_sChart352F02B_opts">"1, 5, 1, False, 2, True, False, , 0, False, False, 1, 2"</definedName>
    <definedName name="cb_sChart3532FF6_opts">"2, 1, 1, False, 2, False, False, , 0, False, True, 1, 2"</definedName>
    <definedName name="cb_sChart355BCAD_opts">"2, 1, 1, False, 2, False, False, , 0, False, True, 1, 2"</definedName>
    <definedName name="cb_sChart35FF6A2_opts">"1, 8, 1, False, 2, False, False, , 0, False, False, 1, 2"</definedName>
    <definedName name="cb_sChart3624091_opts">"1, 8, 1, False, 2, False, False, , 0, False, False, 1, 2"</definedName>
    <definedName name="cb_sChart36406CE_opts">"1, 3, 1, False, 2, True, False, , 0, False, True, 1, 1"</definedName>
    <definedName name="cb_sChart3AB73A1_opts">"2, 1, 1, False, 2, True, False, , 0, False, True, 2, 2"</definedName>
    <definedName name="cb_sChart3ABAD51_opts">"1, 5, 1, False, 2, True, False, , 0, False, False, 2, 2"</definedName>
    <definedName name="cb_sChart3AE4A4F_opts">"2, 1, 1, True, 2, False, False, , 0, False, True, 2, 2"</definedName>
    <definedName name="cb_sChart3AEA7B7_opts">"2, 1, 1, True, 2, False, False, , 0, False, True, 1, 1"</definedName>
    <definedName name="cb_sChart3AEAB83_opts">"2, 1, 1, True, 2, False, False, , 0, False, True, 2, 2"</definedName>
    <definedName name="cb_sChart3AF2834_opts">"1, 3, 1, False, 2, False, False, , 0, False, False, 2, 2"</definedName>
    <definedName name="cb_sChart3AF5310_opts">"1, 1, 1, False, 2, False, False, , 0, False, False, 1, 2"</definedName>
    <definedName name="cb_sChart3AF68AD_opts">"1, 1, 1, False, 2, False, False, , 0, False, False, 2, 2"</definedName>
    <definedName name="cb_sChart3AF71DA_opts">"1, 1, 1, False, 2, False, False, , 0, False, False, 1, 1"</definedName>
    <definedName name="cb_sChart3AF76D4_opts">"1, 1, 1, False, 2, False, False, , 0, False, False, 2, 2"</definedName>
    <definedName name="cb_sChart3AF8492_opts">"1, 1, 1, False, 2, False, False, , 0, False, False, 1, 1"</definedName>
    <definedName name="cb_sChart3AFF994_opts">"1, 1, 1, False, 2, False, False, , 0, False, False, 2, 2"</definedName>
    <definedName name="cb_sChart3B004D6_opts">"1, 1, 1, False, 2, False, False, , 0, False, False, 1, 1"</definedName>
    <definedName name="cb_sChart3B03C44_opts">"1, 1, 1, False, 2, False, False, , 0, False, False, 1, 1"</definedName>
    <definedName name="cb_sChart3B08D31_opts">"1, 8, 1, False, 2, False, False, , 0, False, False, 2, 2"</definedName>
    <definedName name="cb_sChart3B09A9F_opts">"1, 8, 1, False, 2, False, False, , 0, False, False, 2, 2"</definedName>
    <definedName name="cb_sChart3B09F8C_opts">"1, 8, 1, False, 2, False, False, , 0, False, False, 2, 2"</definedName>
    <definedName name="cb_sChart3B0ABD8_opts">"1, 8, 1, False, 2, False, False, , 0, False, False, 2, 2"</definedName>
    <definedName name="cb_sChart3B12357_opts">"1, 8, 1, False, 2, False, False, , 0, False, False, 2, 2"</definedName>
    <definedName name="cb_sChart3B12816_opts">"1, 8, 1, False, 2, False, False, , 0, False, False, 2, 2"</definedName>
    <definedName name="cb_sChart3B12D0F_opts">"1, 8, 1, False, 2, False, False, , 0, False, False, 2, 2"</definedName>
    <definedName name="cb_sChart3BA9EF5_opts">"1, 9, 1, False, 2, False, False, , 0, False, True, 1, 1"</definedName>
    <definedName name="cb_sChart3BAA0A1_opts">"1, 9, 1, False, 2, False, False, , 0, False, True, 1, 1"</definedName>
    <definedName name="cb_sChart3BAA29E_opts">"1, 9, 1, False, 2, False, False, , 0, False, True, 1, 1"</definedName>
    <definedName name="cb_sChart3BAACED_opts">"1, 9, 1, False, 2, False, False, , 0, False, True, 1, 1"</definedName>
    <definedName name="cb_sChart3BAD7A6_opts">"2, 1, 2, True, 2, False, False, , 0, False, True, 1, 2"</definedName>
    <definedName name="cb_sChart3BBD972_opts">"1, 1, 1, False, 2, False, False, , 0, False, False, 1, 1"</definedName>
    <definedName name="cb_sChart3BC0E91_opts">"2, 1, 1, False, 2, True, False, , 0, False, True, 1, 1"</definedName>
    <definedName name="cb_sChart3BFC30E_opts">"1, 4, 1, False, 2, False, False, , 0, False, False, 1, 1"</definedName>
    <definedName name="cb_sChart3BFD9FA_opts">"2, 1, 1, True, 2, False, False, , 0, False, True, 2, 2"</definedName>
    <definedName name="cb_sChart3BFEF23_opts">"1, 4, 1, False, 2, False, False, , 0, False, False, 1, 1"</definedName>
    <definedName name="cb_sChart3BFF2E3_opts">"1, 1, 1, False, 2, False, False, , 0, False, False, 1, 1"</definedName>
    <definedName name="cb_sChart41E9A35_opts">"1, 9, 1, False, 2, False, False, , 0, False, True, 1, 1"</definedName>
    <definedName name="cb_sChart463330_opts">"2, 1, 2, True, 2, False, False, , 0, False, True, 1, 2"</definedName>
    <definedName name="cb_sChart4665D3_opts">"1, 9, 1, False, 2, False, False, , 0, False, True, 2, 2"</definedName>
    <definedName name="cb_sChart4680DD_opts">"1, 10, 1, False, 2, True, False, , 0, False, False, 2, 2"</definedName>
    <definedName name="cb_sChart468801_opts">"1, 10, 1, False, 2, True, False, , 0, False, False, 2, 2"</definedName>
    <definedName name="cb_sChart46BC0B_opts">"2, 1, 2, True, 2, False, False, , 0, False, True, 1, 2"</definedName>
    <definedName name="cb_sChart4828C3_opts">"1, 1, 1, False, 2, False, False, , 0, False, False, 1, 2"</definedName>
    <definedName name="cb_sChart482D03_opts">"1, 1, 1, False, 2, False, False, , 0, False, False, 1, 2"</definedName>
    <definedName name="cb_sChart595EE0E_opts">"1, 9, 1, False, 2, False, True, , 3, False, True, 1, 1"</definedName>
    <definedName name="cb_sChart5D0C805_opts">"1, 4, 1, False, 2, False, False, , 0, False, False, 1, 1"</definedName>
    <definedName name="cb_sChart5D375C8_opts">"1, 9, 1, False, 2, False, False, , 0, False, True, 1, 1"</definedName>
    <definedName name="cb_sChart6A2ED7_opts">"1, 10, 1, False, 2, True, False, , 0, False, False, 1, 1"</definedName>
    <definedName name="cb_sChart6A6617_opts">"1, 10, 1, False, 2, True, False, , 0, False, False, 1, 1"</definedName>
    <definedName name="cb_sChart6A66F3_opts">"1, 10, 1, False, 2, True, False, , 0, False, False, 1, 1"</definedName>
    <definedName name="cb_sChart6A7DF6_opts">"1, 3, 1, False, 2, True, False, , 0, False, True, 2, 1"</definedName>
    <definedName name="cb_sChart74E984_opts">"1, 1, 1, False, 2, False, False, , 0, False, False, 2, 2"</definedName>
    <definedName name="cb_sChart8CD287E_opts">"1, 1, 1, False, 2, False, False, , 0, False, False, 1, 1"</definedName>
    <definedName name="cb_sChartD086F3E_opts">"1, 1, 1, False, 2, False, False, , 1, False, True, 2, 2"</definedName>
    <definedName name="cb_sChartD0876B3_opts">"2, 2, 2, True, 2, False, False, , 1, False, True, 2, 2"</definedName>
    <definedName name="cb_sChartEB337E1_opts">"1, 10, 1, False, 2, False, False, , 1, False, True, 2, 2"</definedName>
    <definedName name="cb_sChartEB33A80_opts">"1, 10, 1, False, 2, False, False, , 1, False, True, 2, 2"</definedName>
    <definedName name="cb_sChartEB33EA9_opts">"1, 10, 1, False, 2, False, False, , 1, False, True, 2, 2"</definedName>
    <definedName name="cb_sChartEB340BD_opts">"1, 10, 1, False, 2, False, False, , 1, False, True, 2, 2"</definedName>
    <definedName name="cb_sChartEB344DA_opts">"1, 10, 1, False, 2, False, False, , 1, False, False, 2, 2"</definedName>
    <definedName name="cb_sChartEB3479C_opts">"1, 1, 1, False, 2, False, False, , 1, False, True, 2, 1"</definedName>
    <definedName name="cb_sChartEB34833_opts">"1, 10, 1, False, 2, False, False, , 1, False, True, 2, 1"</definedName>
    <definedName name="cb_sChartEB34DCE_opts">"1, 10, 1, False, 2, False, False, , 1, False, True, 2, 1"</definedName>
    <definedName name="cb_sChartEB36CAF_opts">"1, 9, 1, False, 2, False, False, , 1, False, True, 1, 2"</definedName>
    <definedName name="cb_sChartEB38838_opts">"1, 9, 1, False, 2, False, False, , 1, False, True, 2, 2"</definedName>
    <definedName name="cb_sChartEB38E8C_opts">"1, 10, 1, False, 2, False, False, , 1, False, True, 2, 2"</definedName>
    <definedName name="cb_sChartEB3980B_opts">"1, 2, 1, False, 2, False, False, , 1, False, False, 2, 1"</definedName>
    <definedName name="cb_sChartEB39C1C_opts">"1, 2, 1, False, 2, False, False, , 1, False, False, 2, 1"</definedName>
    <definedName name="cb_sChartF0FF3D7_opts">"1, 8, 1, False, 2, False, False, , 1, False, True, 1, 2"</definedName>
    <definedName name="cb_sChartF1BF8C8_opts">"1, 8, 1, False, 2, False, False, , 1, False, True, 1, 2"</definedName>
    <definedName name="cb_sChartF1C057C_opts">"1, 2, 1, False, 2, False, False, , 1, False, False, 2, 1"</definedName>
    <definedName name="cb_sChartF1C0A0D_opts">"1, 8, 1, False, 2, False, False, , 1, False, True, 1, 1"</definedName>
    <definedName name="cb_sChartF1C9DF0_opts">"1, 8, 1, False, 2, False, False, , 1, False, True, 1, 2"</definedName>
    <definedName name="cb_sChartF1F24F5_opts">"1, 8, 1, False, 2, False, False, , 1, False, True, 1, 2"</definedName>
    <definedName name="cb_Size_by_height_and_widthChart_16_opts">"1, 4, 1, False, 2, False, False, , 0, False, False, 1, 1"</definedName>
    <definedName name="cb_Size_by_height_and_widthChart_7_opts">"1, 4, 1, False, 2, False, False, , 0, False, False, 1, 1"</definedName>
    <definedName name="cb_Size_by_height_and_widthChart_8_opts">"1, 4, 1, False, 2, False, False, , 0, False, False, 1, 1"</definedName>
    <definedName name="cbkh">#REF!</definedName>
    <definedName name="cbkh1">#REF!</definedName>
    <definedName name="cbkhh">#REF!</definedName>
    <definedName name="cbkhh1">#REF!</definedName>
    <definedName name="cbkm">#REF!</definedName>
    <definedName name="cbkm1">#REF!</definedName>
    <definedName name="cbkmh">#REF!</definedName>
    <definedName name="cbkmh1">#REF!</definedName>
    <definedName name="cbrh">#REF!</definedName>
    <definedName name="cbrh1">#REF!</definedName>
    <definedName name="cbrhh">#REF!</definedName>
    <definedName name="cbrhh1">#REF!</definedName>
    <definedName name="cbrm">#REF!</definedName>
    <definedName name="cbrm1">#REF!</definedName>
    <definedName name="cbrmh">#REF!</definedName>
    <definedName name="cbrmh1">#REF!</definedName>
    <definedName name="cc" localSheetId="11">{#N/A,#N/A,FALSE,"LoanAssumptions"}</definedName>
    <definedName name="cc">{#N/A,#N/A,FALSE,"LoanAssumptions"}</definedName>
    <definedName name="cc.">{"CD1",#N/A,TRUE,"C-D (R)";"CD2",#N/A,TRUE,"C-D (R)"}</definedName>
    <definedName name="ccc" localSheetId="11">{#N/A,#N/A,FALSE,"LoanAssumptions"}</definedName>
    <definedName name="ccc">{#N/A,#N/A,FALSE,"LoanAssumptions"}</definedName>
    <definedName name="CCCCCCCCC">{FALSE,FALSE,1.75,1,600,351,FALSE,FALSE,TRUE,TRUE,0,30,#N/A,41,#N/A,9.57777777777778,18.9166666666667,1,FALSE,FALSE,1,TRUE,1,FALSE,100,"Swvu.As._.Is._.Value.","ACwvu.As._.Is._.Value.",1,FALSE,FALSE,1,1,1,1,1,"","",FALSE,FALSE,FALSE,FALSE,1,#N/A,1,1,FALSE,FALSE,FALSE,FALSE,FALSE,FALSE}</definedName>
    <definedName name="CClosingCosts">#REF!</definedName>
    <definedName name="ccrlastrow">#REF!</definedName>
    <definedName name="CD">#REF!</definedName>
    <definedName name="CDBORDER">#REF!</definedName>
    <definedName name="CDCK">#REF!</definedName>
    <definedName name="CDERASE">#REF!</definedName>
    <definedName name="CDGL">#REF!</definedName>
    <definedName name="cdheader">#REF!</definedName>
    <definedName name="CDTOTAL">#REF!</definedName>
    <definedName name="CE_Acq_Fee">#REF!</definedName>
    <definedName name="CE_Acq_Fee_P1_Pct">#REF!</definedName>
    <definedName name="CE_Acq_Fee_Partner_Pct">#REF!</definedName>
    <definedName name="CE_Acq_Fee_Type">#REF!</definedName>
    <definedName name="CE_Acq_Fee_Y_N">#REF!</definedName>
    <definedName name="CE_Exit_Fee">#REF!</definedName>
    <definedName name="CE_Exit_Fee_P1_Pct">#REF!</definedName>
    <definedName name="CE_Exit_Fee_Partner_Pct">#REF!</definedName>
    <definedName name="CE_Exit_Fee_Type">#REF!</definedName>
    <definedName name="CE_Exit_Fee_Y_N">#REF!</definedName>
    <definedName name="Centername">#REF!</definedName>
    <definedName name="CENTREVILLE">#REF!</definedName>
    <definedName name="ceprint">#REF!</definedName>
    <definedName name="CEquityFee">#REF!</definedName>
    <definedName name="Ceramics">#REF!</definedName>
    <definedName name="CF">#REF!</definedName>
    <definedName name="CF_Sweep_Type">#REF!</definedName>
    <definedName name="CFA">#REF!</definedName>
    <definedName name="cfgBadDebtInclude">#REF!</definedName>
    <definedName name="cfgBadDebtPercent">#REF!</definedName>
    <definedName name="CfgBuilding">#REF!</definedName>
    <definedName name="CfgFeeMinimum">#REF!</definedName>
    <definedName name="CfgFeePercent">#REF!</definedName>
    <definedName name="CfgFeeRecoverable">#REF!</definedName>
    <definedName name="cfgMFAIPPercent">#REF!</definedName>
    <definedName name="cfgMFAIPRecoverable">#REF!</definedName>
    <definedName name="CfgPurpose">#REF!</definedName>
    <definedName name="CfgSquareFeet">#REF!</definedName>
    <definedName name="cflastrow">#REF!</definedName>
    <definedName name="Champion">#REF!</definedName>
    <definedName name="Champion_Package">#REF!</definedName>
    <definedName name="ChangeOrderPercentage">#REF!</definedName>
    <definedName name="charleston_price">#REF!</definedName>
    <definedName name="chart">"Chart 1"</definedName>
    <definedName name="Chart12345">#REF!</definedName>
    <definedName name="Check">#REF!</definedName>
    <definedName name="Chemical_Straighten">#REF!</definedName>
    <definedName name="Chest_Wax">#REF!</definedName>
    <definedName name="Childs_Haircut">#REF!</definedName>
    <definedName name="Chin_Wax">#REF!</definedName>
    <definedName name="chngordr">#REF!</definedName>
    <definedName name="chngordrID">#REF!</definedName>
    <definedName name="Choices_Wrapper">#REF!</definedName>
    <definedName name="CIQWBGuid">"f86a7d3f-3428-43b6-bbaa-88994b54a020"</definedName>
    <definedName name="circ">#REF!</definedName>
    <definedName name="circ_switch">#REF!</definedName>
    <definedName name="Citrus">#REF!</definedName>
    <definedName name="citystate">#REF!</definedName>
    <definedName name="Civil_Engineer">#REF!</definedName>
    <definedName name="CJ">#REF!</definedName>
    <definedName name="CK">#REF!</definedName>
    <definedName name="CKS">#REF!</definedName>
    <definedName name="CLI_EQUITY_INDICATOR">#REF!</definedName>
    <definedName name="CLI_Indicator">#REF!</definedName>
    <definedName name="client">#REF!</definedName>
    <definedName name="ClientAddress1">#REF!</definedName>
    <definedName name="ClientCityStateZip">#REF!</definedName>
    <definedName name="ClientName">#REF!</definedName>
    <definedName name="Closed?">#REF!</definedName>
    <definedName name="Closing_Costs">#REF!</definedName>
    <definedName name="Closing_Date">#REF!</definedName>
    <definedName name="CLOVER_1">#REF!</definedName>
    <definedName name="CLOVER_2">#REF!</definedName>
    <definedName name="CLOVER_3">#REF!</definedName>
    <definedName name="CLOVER_4">#REF!</definedName>
    <definedName name="CLOVER_5">#REF!</definedName>
    <definedName name="CLOVER_6">#REF!</definedName>
    <definedName name="CLOVER_7">#REF!</definedName>
    <definedName name="CLOVER_8">#REF!</definedName>
    <definedName name="clubhousebqt">#REF!</definedName>
    <definedName name="clubhousedining">#REF!</definedName>
    <definedName name="clubhousegrill">#REF!</definedName>
    <definedName name="clubhouselng">#REF!</definedName>
    <definedName name="CM_FeePercent">'00_JobSetup'!$C$17</definedName>
    <definedName name="CMFeeI">#REF!</definedName>
    <definedName name="CMFeeII">#REF!</definedName>
    <definedName name="CMR_FY1">#REF!</definedName>
    <definedName name="cndo">#REF!</definedName>
    <definedName name="cndo1">#REF!</definedName>
    <definedName name="CNS">#REF!</definedName>
    <definedName name="code">#REF!</definedName>
    <definedName name="coder">#REF!</definedName>
    <definedName name="Codes">#REF!</definedName>
    <definedName name="COF">#REF!</definedName>
    <definedName name="cogtaz_Query_from_wizard">#REF!</definedName>
    <definedName name="COL1STYR">7</definedName>
    <definedName name="CollarLIBORGrid">#REF!</definedName>
    <definedName name="CollarPrimeGrid">#REF!</definedName>
    <definedName name="Collars">#REF!</definedName>
    <definedName name="Color">#REF!</definedName>
    <definedName name="Color_Analysis">#REF!</definedName>
    <definedName name="com">#REF!</definedName>
    <definedName name="Com_Tier_Promote_T2_Trigger">#REF!</definedName>
    <definedName name="Com_Tier_Promote_T3_Trigger">#REF!</definedName>
    <definedName name="Comb_Out">#REF!</definedName>
    <definedName name="combo">#REF!</definedName>
    <definedName name="COMMENTS">#REF!</definedName>
    <definedName name="Commercial">#REF!</definedName>
    <definedName name="CommercialExpUp">#REF!</definedName>
    <definedName name="CommercialRentsUp">#REF!</definedName>
    <definedName name="CommercialVacancy">#REF!</definedName>
    <definedName name="committed">#REF!,#REF!</definedName>
    <definedName name="Common_Accrued_Rate">#REF!</definedName>
    <definedName name="Common_Final_Tier_Partner_Share">#REF!</definedName>
    <definedName name="Common_Fut_Fund_Pref_Rate">#REF!</definedName>
    <definedName name="Common_Pref_Rate">#REF!</definedName>
    <definedName name="Common_Pref_Tiered_Y_N">#REF!</definedName>
    <definedName name="Common_Tier_1_Hurdle">#REF!</definedName>
    <definedName name="Common_Tier_1_Partner_Share">#REF!</definedName>
    <definedName name="Common_Tier_2_Hurdle">#REF!</definedName>
    <definedName name="Common_Tier_2_Partner_Share">#REF!</definedName>
    <definedName name="Common_Tier_3_Hurdle">#REF!</definedName>
    <definedName name="Common_Tier_3_Partner_Share">#REF!</definedName>
    <definedName name="Common_Tiered_Promote_Trigger">#REF!</definedName>
    <definedName name="Common_Tiered_Promote_Y_N">#REF!</definedName>
    <definedName name="CommonEq_Tier_1">#REF!</definedName>
    <definedName name="CommonEq_Tier_2">#REF!</definedName>
    <definedName name="CommonEq_Tier_3">#REF!</definedName>
    <definedName name="commoverhead">#REF!</definedName>
    <definedName name="commpsf">#REF!</definedName>
    <definedName name="commrent">#REF!</definedName>
    <definedName name="COMMRENTGR">#REF!</definedName>
    <definedName name="CommSt_Condo_Sale_PSF">#REF!</definedName>
    <definedName name="CommSt_Qty_1BR">#REF!</definedName>
    <definedName name="CommSt_Qty_2BR">#REF!</definedName>
    <definedName name="CommSt_Qty_Pkg_Spaces">#REF!</definedName>
    <definedName name="CommSt_Rent_1BR">#REF!</definedName>
    <definedName name="CommSt_Rent_2BR">#REF!</definedName>
    <definedName name="comp1">#REF!</definedName>
    <definedName name="comp2">#REF!</definedName>
    <definedName name="CompanyOH">#REF!</definedName>
    <definedName name="COMPARE">#REF!</definedName>
    <definedName name="Compare98">#REF!</definedName>
    <definedName name="compbar">#REF!</definedName>
    <definedName name="compbrk">#REF!</definedName>
    <definedName name="compdata">#REF!</definedName>
    <definedName name="COMPENSE">#REF!</definedName>
    <definedName name="COMPLETE21">#REF!</definedName>
    <definedName name="Completedate">#REF!</definedName>
    <definedName name="Compound">#REF!</definedName>
    <definedName name="Compound_Factor">#REF!</definedName>
    <definedName name="COMPOUNDED">#REF!</definedName>
    <definedName name="Comps" localSheetId="1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Comps">{#N/A,#N/A,FALSE,"1Summary";#N/A,#N/A,FALSE,"2Assumptions";#N/A,#N/A,FALSE,"3Cash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CompSet1">#REF!</definedName>
    <definedName name="CompSet2">#REF!</definedName>
    <definedName name="CompSet3">#REF!</definedName>
    <definedName name="CON">#REF!</definedName>
    <definedName name="ConC02">#REF!</definedName>
    <definedName name="ConC03">#REF!</definedName>
    <definedName name="ConC30day">#REF!</definedName>
    <definedName name="ConC60day">#REF!</definedName>
    <definedName name="ConC90day">#REF!</definedName>
    <definedName name="Concentric_Network__Corp.">"FY99_FY00"</definedName>
    <definedName name="Concessions_FY36">#REF!</definedName>
    <definedName name="ConcreteDesc">#REF!</definedName>
    <definedName name="ConcreteSOG">#REF!</definedName>
    <definedName name="ConcreteStructure">#REF!</definedName>
    <definedName name="ConcreteSub">#REF!</definedName>
    <definedName name="condo">#REF!</definedName>
    <definedName name="condo1">#REF!</definedName>
    <definedName name="CondoAboveGradeConstructionCost">#REF!</definedName>
    <definedName name="CondoLookup1">#REF!</definedName>
    <definedName name="CondoParkingSF">#REF!</definedName>
    <definedName name="CondoPrem">#REF!</definedName>
    <definedName name="CONDOPRICE">#REF!</definedName>
    <definedName name="CondoPriceInflation">#REF!</definedName>
    <definedName name="CondopSF">#REF!</definedName>
    <definedName name="CondopUnit">#REF!</definedName>
    <definedName name="Condos">#REF!</definedName>
    <definedName name="condosc">#REF!</definedName>
    <definedName name="condosc1">#REF!</definedName>
    <definedName name="CondoSellingCostPercentage">#REF!</definedName>
    <definedName name="CondoSettlementsPerMonth">#REF!</definedName>
    <definedName name="CondoSF">#REF!</definedName>
    <definedName name="CondoSoldOutLookup">#REF!,#REF!</definedName>
    <definedName name="condosort">#REF!</definedName>
    <definedName name="condostats">#REF!</definedName>
    <definedName name="CondoUnits">#REF!</definedName>
    <definedName name="confctr">#REF!</definedName>
    <definedName name="_xlnm.Consolidate_Area">#REF!</definedName>
    <definedName name="const">#REF!</definedName>
    <definedName name="const_debt">#REF!</definedName>
    <definedName name="constant">#REF!</definedName>
    <definedName name="CONSTNCOSTS">#REF!</definedName>
    <definedName name="ConstrComplete">#REF!</definedName>
    <definedName name="ConstrIntRate">#REF!</definedName>
    <definedName name="ConstrPeriod">#REF!</definedName>
    <definedName name="ConstrStarts">#REF!</definedName>
    <definedName name="construction">{"Construction Costs",#N/A,FALSE,"Total Costs"}</definedName>
    <definedName name="ConstructionCompleteDate">#REF!</definedName>
    <definedName name="ConstructionCompleteMonth">#REF!</definedName>
    <definedName name="ConstructionFinancingFee">#REF!</definedName>
    <definedName name="ConstructionLoanInterestRate">#REF!</definedName>
    <definedName name="ConstructionPeriod">#REF!</definedName>
    <definedName name="ConstructionPlacementFee">#REF!</definedName>
    <definedName name="ConstructionStartDate">#REF!</definedName>
    <definedName name="ConstructionStartMonth">#REF!</definedName>
    <definedName name="Contingency">#REF!</definedName>
    <definedName name="contractdollars">#REF!</definedName>
    <definedName name="contracthours">#REF!</definedName>
    <definedName name="CONVERSION">#REF!</definedName>
    <definedName name="ConvHurdle1">#REF!</definedName>
    <definedName name="ConvHurdle2">#REF!</definedName>
    <definedName name="ConvHurdle3">#REF!</definedName>
    <definedName name="ConvSplit0">#REF!</definedName>
    <definedName name="ConvSplit1">#REF!</definedName>
    <definedName name="ConvSplit2">#REF!</definedName>
    <definedName name="ConvSplit3">#REF!</definedName>
    <definedName name="Copy00">#REF!</definedName>
    <definedName name="corporatetax">#REF!</definedName>
    <definedName name="Corridor">#REF!</definedName>
    <definedName name="cos">#REF!</definedName>
    <definedName name="cost">#REF!</definedName>
    <definedName name="Cost_Of_Sale">#REF!</definedName>
    <definedName name="Cost_Sales">#REF!</definedName>
    <definedName name="Costofsale">#REF!</definedName>
    <definedName name="CostOfSales">#REF!</definedName>
    <definedName name="costs2">#REF!</definedName>
    <definedName name="Cottage">{"cot1",#N/A,FALSE,"Cottages";"cot2",#N/A,FALSE,"Cottages";"cot3",#N/A,FALSE,"Cottages"}</definedName>
    <definedName name="cottages">#REF!</definedName>
    <definedName name="COUNT">#REF!</definedName>
    <definedName name="Couple_1st_Swed_50">#REF!</definedName>
    <definedName name="Couple_2nd_Swed_50">#REF!</definedName>
    <definedName name="coupon">#REF!</definedName>
    <definedName name="Coupon_Rate">#REF!</definedName>
    <definedName name="CourseList">#REF!</definedName>
    <definedName name="CPI">#REF!</definedName>
    <definedName name="CPI_00">#REF!</definedName>
    <definedName name="CPI_01">#REF!</definedName>
    <definedName name="CPI_02">#REF!</definedName>
    <definedName name="CPI_97">#REF!</definedName>
    <definedName name="CPI_98">#REF!</definedName>
    <definedName name="CPI_99">#REF!</definedName>
    <definedName name="CPL_1st_DEEP_50">#REF!</definedName>
    <definedName name="CPL_2nd_DEEP_50">#REF!</definedName>
    <definedName name="CPRATES">#REF!</definedName>
    <definedName name="CR">#REF!</definedName>
    <definedName name="CranioSacral_Therapy">#REF!</definedName>
    <definedName name="Crate">#REF!</definedName>
    <definedName name="cratio">#REF!</definedName>
    <definedName name="CRBORDER">#REF!</definedName>
    <definedName name="Cred1">#REF!</definedName>
    <definedName name="Cred2">#REF!</definedName>
    <definedName name="Cred3">#REF!</definedName>
    <definedName name="Cred4">#REF!</definedName>
    <definedName name="Cred5">#REF!</definedName>
    <definedName name="Cred6">#REF!</definedName>
    <definedName name="credit">#REF!</definedName>
    <definedName name="Credit_Loss">#REF!</definedName>
    <definedName name="CreditSpread">#REF!</definedName>
    <definedName name="CRERASE">#REF!</definedName>
    <definedName name="CRGL">#REF!</definedName>
    <definedName name="crheader">#REF!</definedName>
    <definedName name="CRIT">#REF!</definedName>
    <definedName name="_xlnm.Criteria">#REF!</definedName>
    <definedName name="Crs">#REF!</definedName>
    <definedName name="CrsAcct">#REF!</definedName>
    <definedName name="crtname">#REF!</definedName>
    <definedName name="CRTOTAL">#REF!</definedName>
    <definedName name="CRYST_PENTCITY">#REF!</definedName>
    <definedName name="Crystal_Body_Peeling">#REF!</definedName>
    <definedName name="csDesignMode">1</definedName>
    <definedName name="Cstartdate">#REF!</definedName>
    <definedName name="cSum">9</definedName>
    <definedName name="CTG">#REF!</definedName>
    <definedName name="ctpc">#REF!</definedName>
    <definedName name="ctr">#REF!</definedName>
    <definedName name="ctss.documentElement_12409_.item_0_.width_1_.height_1_.format_portrait_.output_htm_tif_">#REF!</definedName>
    <definedName name="Cum_Pref">#REF!</definedName>
    <definedName name="Curbs">#REF!</definedName>
    <definedName name="CurrBps">#REF!</definedName>
    <definedName name="Currency">#REF!</definedName>
    <definedName name="CurrencyList">#REF!</definedName>
    <definedName name="CURRENT">#REF!</definedName>
    <definedName name="current_year">#REF!</definedName>
    <definedName name="CurrentBChanged">#REF!</definedName>
    <definedName name="CurrentBDesc">#REF!</definedName>
    <definedName name="CurrentBName">#REF!</definedName>
    <definedName name="CurrentBReleased">#REF!</definedName>
    <definedName name="CurrentBStatus">#REF!</definedName>
    <definedName name="CurrentBudgetClean">#REF!</definedName>
    <definedName name="CurrentBudgetID">#REF!</definedName>
    <definedName name="CurrentBudgetLoaded">#REF!</definedName>
    <definedName name="CurrentBudgetSaved">#REF!</definedName>
    <definedName name="CurrentBudgetType">#REF!</definedName>
    <definedName name="currentfilename">#REF!</definedName>
    <definedName name="CurrMonth">#REF!</definedName>
    <definedName name="CurveAvailable">#REF!</definedName>
    <definedName name="CustomMacro1">#REF!</definedName>
    <definedName name="CustomPayments">#REF!</definedName>
    <definedName name="Cwvu._Current_.">#REF!,#REF!,#REF!,#REF!,#REF!,#REF!,#REF!,#REF!,#REF!,#REF!,#REF!,#REF!,#REF!,#REF!,#REF!,#REF!,#REF!,#REF!,#REF!,#REF!,#REF!,#REF!,#REF!,#REF!</definedName>
    <definedName name="Cwvu.ACCOUNT._.DETAIL.">#REF!</definedName>
    <definedName name="Cwvu.GREY_ALL.">#REF!</definedName>
    <definedName name="Cwvu.WAT.">#REF!</definedName>
    <definedName name="Cwvy.GREY_ALL._dcf">#REF!</definedName>
    <definedName name="CY">#REF!</definedName>
    <definedName name="d">{#N/A,#N/A,FALSE,"LoanAssumptions"}</definedName>
    <definedName name="d.s.coverage">#REF!</definedName>
    <definedName name="D1_Amort_Period">#REF!</definedName>
    <definedName name="D1_Amount_Per_Adjust">#REF!</definedName>
    <definedName name="D1_Base">#REF!</definedName>
    <definedName name="D1_Capex_FF_Y_N">#REF!</definedName>
    <definedName name="D1_Capex_HB_Amount">#REF!</definedName>
    <definedName name="D1_CFP_Amount">#REF!</definedName>
    <definedName name="D1_CFP_YN">#REF!</definedName>
    <definedName name="D1_Cmt_Fee">#REF!</definedName>
    <definedName name="D1_Earnout_Trigger">#REF!</definedName>
    <definedName name="D1_Exit_Fee">#REF!</definedName>
    <definedName name="D1_Float_Cap">#REF!</definedName>
    <definedName name="D1_Floating_Month_Adjust">#REF!</definedName>
    <definedName name="D1_Index">#REF!</definedName>
    <definedName name="D1_IO_Months">#REF!</definedName>
    <definedName name="D1_IO_Y_N">#REF!</definedName>
    <definedName name="D1_IR_FF_Y_N">#REF!</definedName>
    <definedName name="D1_IR_HB_Amount">#REF!</definedName>
    <definedName name="D1_Maturity_Date">#REF!</definedName>
    <definedName name="D1_Op_SF_Level">#REF!</definedName>
    <definedName name="D1_OR_HB_Amount">#REF!</definedName>
    <definedName name="D1_Orig_Date">#REF!</definedName>
    <definedName name="D1_Rate_Fixed_Months">#REF!</definedName>
    <definedName name="D1_Rate_Fixed_Years">#REF!</definedName>
    <definedName name="D1_Resid_Participation_Type">#REF!</definedName>
    <definedName name="D1_Resid_Pct">#REF!</definedName>
    <definedName name="D1_Spread">#REF!</definedName>
    <definedName name="D1_Term">#REF!</definedName>
    <definedName name="D1_TILC_FF_Y_N">#REF!</definedName>
    <definedName name="D1_TILC_HB_Amount">#REF!</definedName>
    <definedName name="D2_Amort_Period">#REF!</definedName>
    <definedName name="D2_Amount_Per_Adjust">#REF!</definedName>
    <definedName name="D2_Base">#REF!</definedName>
    <definedName name="D2_Capex_FF_Y_N">#REF!</definedName>
    <definedName name="D2_Capex_HB_Amount">#REF!</definedName>
    <definedName name="D2_CFP_Amount">#REF!</definedName>
    <definedName name="D2_CFP_YN">#REF!</definedName>
    <definedName name="D2_Cmt_Fee">#REF!</definedName>
    <definedName name="D2_Earnout_Trigger">#REF!</definedName>
    <definedName name="D2_Exit_Fee">#REF!</definedName>
    <definedName name="D2_Float_Cap">#REF!</definedName>
    <definedName name="D2_Floating_Month_Adjust">#REF!</definedName>
    <definedName name="D2_Index">#REF!</definedName>
    <definedName name="D2_IO_Months">#REF!</definedName>
    <definedName name="D2_IO_Y_N">#REF!</definedName>
    <definedName name="D2_IR_FF_Y_N">#REF!</definedName>
    <definedName name="D2_IR_HB_Amount">#REF!</definedName>
    <definedName name="D2_Maturity_Date">#REF!</definedName>
    <definedName name="D2_Op_SF_Level">#REF!</definedName>
    <definedName name="D2_OR_HB_Amount">#REF!</definedName>
    <definedName name="D2_Orig_Date">#REF!</definedName>
    <definedName name="D2_Rate_Fixed_Months">#REF!</definedName>
    <definedName name="D2_Resid_Participation_Type">#REF!</definedName>
    <definedName name="D2_Resid_Pct">#REF!</definedName>
    <definedName name="D2_Spread">#REF!</definedName>
    <definedName name="D2_Term">#REF!</definedName>
    <definedName name="D2_TILC_FF_Y_N">#REF!</definedName>
    <definedName name="D2_TILC_HB_Amount">#REF!</definedName>
    <definedName name="DA_ND_at_Purchase">#REF!</definedName>
    <definedName name="dafd">#REF!</definedName>
    <definedName name="dafdadf">#REF!</definedName>
    <definedName name="dafdadfdafsfds">#REF!</definedName>
    <definedName name="dafdafdsfasd">#N/A</definedName>
    <definedName name="dafdas">#REF!</definedName>
    <definedName name="dafdfa">#REF!</definedName>
    <definedName name="data">{"data",#N/A,FALSE,"INPUT"}</definedName>
    <definedName name="DATA_01">#REF!</definedName>
    <definedName name="data2002">#REF!</definedName>
    <definedName name="_xlnm.Database">#REF!</definedName>
    <definedName name="datapath">#REF!</definedName>
    <definedName name="date">#REF!</definedName>
    <definedName name="date2">#REF!</definedName>
    <definedName name="Datea">#REF!</definedName>
    <definedName name="DatePeriods">#REF!</definedName>
    <definedName name="dates">#REF!</definedName>
    <definedName name="Day_of_Beauty">#REF!</definedName>
    <definedName name="day1st">#REF!</definedName>
    <definedName name="day2nd">#REF!</definedName>
    <definedName name="DayCountConventions">#REF!</definedName>
    <definedName name="DAYS_YEAR">#REF!</definedName>
    <definedName name="DaysBaseYear">#REF!</definedName>
    <definedName name="DaysHistYear2">#REF!</definedName>
    <definedName name="DaysHistYear3">#REF!</definedName>
    <definedName name="DaysHistYear4">#REF!</definedName>
    <definedName name="DaysHistYear5">#REF!</definedName>
    <definedName name="DaysProjYr10SP">#REF!</definedName>
    <definedName name="DaysProjYr1SP">#REF!</definedName>
    <definedName name="DaysProjYr2SP">#REF!</definedName>
    <definedName name="DaysProjYr3SP">#REF!</definedName>
    <definedName name="DaysProjYr4SP">#REF!</definedName>
    <definedName name="DaysProjYr5SP">#REF!</definedName>
    <definedName name="DaysProjYr6SP">#REF!</definedName>
    <definedName name="DaysProjYr7SP">#REF!</definedName>
    <definedName name="DaysProjYr8SP">#REF!</definedName>
    <definedName name="DB">#REF!</definedName>
    <definedName name="DBD">#REF!</definedName>
    <definedName name="DBDC">#REF!</definedName>
    <definedName name="DBL">#REF!</definedName>
    <definedName name="DCF">OFFSET(#REF!,0,0,48,IF(#REF!&lt;7,7,#REF!+3))</definedName>
    <definedName name="DCR">#REF!</definedName>
    <definedName name="dd" localSheetId="11">{"MonthlyRentRoll",#N/A,FALSE,"RentRoll"}</definedName>
    <definedName name="dd">{"MonthlyRentRoll",#N/A,FALSE,"RentRoll"}</definedName>
    <definedName name="DD_Cost">#REF!</definedName>
    <definedName name="dda">{#N/A,#N/A,FALSE}</definedName>
    <definedName name="DDB">#REF!</definedName>
    <definedName name="ddd" localSheetId="11">{"MonthlyRentRoll",#N/A,FALSE,"RentRoll"}</definedName>
    <definedName name="ddd">{"MonthlyRentRoll",#N/A,FALSE,"RentRoll"}</definedName>
    <definedName name="dddd">#REF!</definedName>
    <definedName name="dddddd">#REF!</definedName>
    <definedName name="ddddddd">{#N/A,#N/A,FALSE,"CAPREIT"}</definedName>
    <definedName name="ddrd">#REF!</definedName>
    <definedName name="DEALSSHORTLY">#REF!</definedName>
    <definedName name="Debt">#REF!</definedName>
    <definedName name="Debt_1_Amount">#REF!</definedName>
    <definedName name="Debt_1_Release_Loan_Basis">#REF!</definedName>
    <definedName name="Debt_1_Release_Sales">#REF!</definedName>
    <definedName name="Debt_1_Release_Y_N">#REF!</definedName>
    <definedName name="Debt_1_Type">#REF!</definedName>
    <definedName name="Debt_1st">#REF!</definedName>
    <definedName name="debt_2">#REF!</definedName>
    <definedName name="Debt_2_Amount">#REF!</definedName>
    <definedName name="Debt_2_Release_Loan_Basis">#REF!</definedName>
    <definedName name="Debt_2_Release_Sales">#REF!</definedName>
    <definedName name="Debt_2_Release_Y_N">#REF!</definedName>
    <definedName name="Debt_2_Type">#REF!</definedName>
    <definedName name="Debt_Calc1_Amort">#REF!</definedName>
    <definedName name="Debt_Calc1_CapExEnd">#REF!</definedName>
    <definedName name="Debt_Calc1_Draw">#REF!</definedName>
    <definedName name="Debt_Calc1_End">#REF!</definedName>
    <definedName name="Debt_Calc1_InitialBalance">#REF!</definedName>
    <definedName name="Debt_Calc1_IO">#REF!</definedName>
    <definedName name="Debt_Calc1_IsPrepaid">#REF!</definedName>
    <definedName name="Debt_Calc1_IsRefied">#REF!</definedName>
    <definedName name="Debt_Calc1_Maturity">#REF!</definedName>
    <definedName name="Debt_Calc1_Start">#REF!</definedName>
    <definedName name="Debt_Calc1_Term">#REF!</definedName>
    <definedName name="Debt_Calc1_Year">#REF!</definedName>
    <definedName name="Debt_Calc2_Amort">#REF!</definedName>
    <definedName name="Debt_Calc2_CapExEnd">#REF!</definedName>
    <definedName name="Debt_Calc2_Draw">#REF!</definedName>
    <definedName name="Debt_Calc2_End">#REF!</definedName>
    <definedName name="Debt_Calc2_InitialBalance">#REF!</definedName>
    <definedName name="Debt_Calc2_IO">#REF!</definedName>
    <definedName name="Debt_Calc2_IsPrepaid">#REF!</definedName>
    <definedName name="Debt_Calc2_IsRefied">#REF!</definedName>
    <definedName name="Debt_Calc2_Maturity">#REF!</definedName>
    <definedName name="Debt_Calc2_Start">#REF!</definedName>
    <definedName name="Debt_Calc2_Term">#REF!</definedName>
    <definedName name="Debt_Calc2_Year">#REF!</definedName>
    <definedName name="Debt_Calc3_Amort">#REF!</definedName>
    <definedName name="Debt_Calc3_CapExEnd">#REF!</definedName>
    <definedName name="Debt_Calc3_Draw">#REF!</definedName>
    <definedName name="Debt_Calc3_End">#REF!</definedName>
    <definedName name="Debt_Calc3_InitialBalance">#REF!</definedName>
    <definedName name="Debt_Calc3_IO">#REF!</definedName>
    <definedName name="Debt_Calc3_IsPrepaid">#REF!</definedName>
    <definedName name="Debt_Calc3_Maturity">#REF!</definedName>
    <definedName name="Debt_Calc3_Refi1">#REF!</definedName>
    <definedName name="Debt_Calc3_Refi2">#REF!</definedName>
    <definedName name="Debt_Calc3_Start">#REF!</definedName>
    <definedName name="Debt_Calc3_Term">#REF!</definedName>
    <definedName name="Debt_CalcType2">#REF!</definedName>
    <definedName name="Debt_CalcType3">#REF!</definedName>
    <definedName name="Debt_CalcType4">#REF!</definedName>
    <definedName name="Debt_CalcType5">#REF!</definedName>
    <definedName name="Debt_CalcTypes">#REF!</definedName>
    <definedName name="Debt_Financing_Fee___Key_Bank">#REF!</definedName>
    <definedName name="Debt_FundType1">#REF!</definedName>
    <definedName name="Debt_FundType2">#REF!</definedName>
    <definedName name="Debt_FundType3">#REF!</definedName>
    <definedName name="Debt_FundTypes">#REF!</definedName>
    <definedName name="DEBT_InitialBalance">#REF!</definedName>
    <definedName name="Debt_InitialBOPBalance">#REF!</definedName>
    <definedName name="DEBT_InitialCapital">#REF!</definedName>
    <definedName name="DEBT_InitialFunding">#REF!</definedName>
    <definedName name="DEBT_InitialInterest">#REF!</definedName>
    <definedName name="Debt_InitialLoanFee">#REF!</definedName>
    <definedName name="DEBT_InitialMaturity">#REF!</definedName>
    <definedName name="Debt_InitialPrepaymentFee">#REF!</definedName>
    <definedName name="DEBT_InitialPrincipal">#REF!</definedName>
    <definedName name="DEBT_InitialRefi">#REF!</definedName>
    <definedName name="Debt_InitialSeniorBalance">#REF!</definedName>
    <definedName name="Debt_InitialSeniorBOPBalance">#REF!</definedName>
    <definedName name="Debt_InitialSeniorInterest">#REF!</definedName>
    <definedName name="Debt_InitialSeniorPrincipal">#REF!</definedName>
    <definedName name="Debt_Label1_Amort">#REF!</definedName>
    <definedName name="Debt_Label1_Amount">#REF!</definedName>
    <definedName name="Debt_Label1_InitialRate">#REF!</definedName>
    <definedName name="Debt_Label1_IO">#REF!</definedName>
    <definedName name="Debt_Label1_Maturity">#REF!</definedName>
    <definedName name="Debt_Label1_Percent">#REF!</definedName>
    <definedName name="Debt_Label1_Term">#REF!</definedName>
    <definedName name="Debt_Label1_Value">#REF!</definedName>
    <definedName name="Debt_Label2_Amort">#REF!</definedName>
    <definedName name="Debt_Label2_Amount">#REF!</definedName>
    <definedName name="Debt_Label2_InitialRate">#REF!</definedName>
    <definedName name="Debt_Label2_IO">#REF!</definedName>
    <definedName name="Debt_Label2_Maturity">#REF!</definedName>
    <definedName name="Debt_Label2_Percent">#REF!</definedName>
    <definedName name="Debt_Label2_Term">#REF!</definedName>
    <definedName name="Debt_Label2_Value">#REF!</definedName>
    <definedName name="Debt_Label3_Amort">#REF!</definedName>
    <definedName name="Debt_Label3_Amount">#REF!</definedName>
    <definedName name="Debt_Label3_InitialRate">#REF!</definedName>
    <definedName name="Debt_Label3_IO">#REF!</definedName>
    <definedName name="Debt_Label3_Maturity">#REF!</definedName>
    <definedName name="Debt_Label3_Percent">#REF!</definedName>
    <definedName name="Debt_Label3_Term">#REF!</definedName>
    <definedName name="Debt_Label3_Value">#REF!</definedName>
    <definedName name="Debt_LoanType1">#REF!</definedName>
    <definedName name="Debt_LoanType2">#REF!</definedName>
    <definedName name="Debt_LoanType4">#REF!</definedName>
    <definedName name="Debt_LoanTypes">#REF!</definedName>
    <definedName name="DEBT_PaymentType1">#REF!</definedName>
    <definedName name="DEBT_PaymentType5">#REF!</definedName>
    <definedName name="DEBT_PaymentTypes">#REF!</definedName>
    <definedName name="Debt_PurchaseRange">0</definedName>
    <definedName name="Debt_RefiTypes">#REF!</definedName>
    <definedName name="Debt_Show1_Amort">#REF!</definedName>
    <definedName name="Debt_Show1_AmortHC">#REF!</definedName>
    <definedName name="Debt_Show1_Amount">#REF!</definedName>
    <definedName name="Debt_Show1_CapEx">#REF!</definedName>
    <definedName name="Debt_Show1_FundDate">#REF!</definedName>
    <definedName name="Debt_Show1_FundMethod">#REF!</definedName>
    <definedName name="Debt_Show1_FundPercent">#REF!</definedName>
    <definedName name="Debt_Show1_FundPoints">#REF!</definedName>
    <definedName name="Debt_Show1_Loan">#REF!</definedName>
    <definedName name="Debt_Show1_Rate">#REF!</definedName>
    <definedName name="Debt_Show1_Spread">#REF!</definedName>
    <definedName name="Debt_Show2_Amort">#REF!</definedName>
    <definedName name="Debt_Show2_AmortHC">#REF!</definedName>
    <definedName name="Debt_Show2_Amount">#REF!</definedName>
    <definedName name="Debt_Show2_CapEx">#REF!</definedName>
    <definedName name="Debt_Show2_FundDate">#REF!</definedName>
    <definedName name="Debt_Show2_FundMethod">#REF!</definedName>
    <definedName name="Debt_Show2_FundPercent">#REF!</definedName>
    <definedName name="Debt_Show2_FundPoints">#REF!</definedName>
    <definedName name="Debt_Show2_Loan">#REF!</definedName>
    <definedName name="Debt_Show2_Rate">#REF!</definedName>
    <definedName name="Debt_Show2_Spread">#REF!</definedName>
    <definedName name="Debt_Show3_Amort">#REF!</definedName>
    <definedName name="Debt_Show3_AmortHC">#REF!</definedName>
    <definedName name="Debt_Show3_Amount">#REF!</definedName>
    <definedName name="Debt_Show3_CapEx">#REF!</definedName>
    <definedName name="Debt_Show3_FundDate">#REF!</definedName>
    <definedName name="Debt_Show3_FundMethod">#REF!</definedName>
    <definedName name="Debt_Show3_FundPercent">#REF!</definedName>
    <definedName name="Debt_Show3_FundPoints">#REF!</definedName>
    <definedName name="Debt_Show3_Loan">#REF!</definedName>
    <definedName name="Debt_Show3_Rate">#REF!</definedName>
    <definedName name="Debt_Show3_Refi">#REF!</definedName>
    <definedName name="Debt_Show3_Refi1">#REF!</definedName>
    <definedName name="Debt_Show3_Refi2">#REF!</definedName>
    <definedName name="Debt_Show3_Spread">#REF!</definedName>
    <definedName name="Debt_SubordinationType2">#REF!</definedName>
    <definedName name="Debt_SubordinationTypes">#REF!</definedName>
    <definedName name="Debt_Type">#REF!</definedName>
    <definedName name="Debt_Yes">#REF!</definedName>
    <definedName name="Debt_YesNo">#REF!</definedName>
    <definedName name="Debt2">{"'Expirations'!$A$1:$L$65"}</definedName>
    <definedName name="Debt2_Type">#REF!</definedName>
    <definedName name="debt3">#REF!</definedName>
    <definedName name="DebtSeeker">#REF!</definedName>
    <definedName name="debtservice">#REF!</definedName>
    <definedName name="debtservice1">#REF!</definedName>
    <definedName name="debtservice2">#REF!</definedName>
    <definedName name="DEC">#REF!</definedName>
    <definedName name="DEC00">#REF!</definedName>
    <definedName name="DecCks">#REF!</definedName>
    <definedName name="Deck">#REF!</definedName>
    <definedName name="Deep_Cleansing_Facial">#REF!</definedName>
    <definedName name="Deep_Cond._Treatment">#REF!</definedName>
    <definedName name="Deep_Swedish___50_Min.">#REF!</definedName>
    <definedName name="Deep_Swedish___75_Min.">#REF!</definedName>
    <definedName name="DEF">#REF!</definedName>
    <definedName name="DEFMAINT">#REF!</definedName>
    <definedName name="DeleteSheet">#REF!</definedName>
    <definedName name="DEMO_EARTH_EST">#REF!</definedName>
    <definedName name="DEMO_EARTH_OUT">#REF!</definedName>
    <definedName name="DemolitionDesc">#REF!</definedName>
    <definedName name="DemolitionGSF">#REF!</definedName>
    <definedName name="DemolitionPGSF">#REF!</definedName>
    <definedName name="DemolitionSub">#REF!</definedName>
    <definedName name="DEP">#REF!</definedName>
    <definedName name="Depreciation_Life">#REF!</definedName>
    <definedName name="Dept">#REF!</definedName>
    <definedName name="Dept_Expenses">#REF!</definedName>
    <definedName name="DESCRIBE">#REF!</definedName>
    <definedName name="description">#REF!</definedName>
    <definedName name="DET">#REF!</definedName>
    <definedName name="Detail">#REF!</definedName>
    <definedName name="Detail_1">#REF!</definedName>
    <definedName name="DetailLabelBudget">#REF!</definedName>
    <definedName name="DetailLabelCurrent">#REF!</definedName>
    <definedName name="DetailLabelPrior">#REF!</definedName>
    <definedName name="Detox_Body_Wrap">#REF!</definedName>
    <definedName name="Detoxifying_Mud_Treatmenet">#REF!</definedName>
    <definedName name="Detoxifying_Seaweed">#REF!</definedName>
    <definedName name="DEV">#REF!</definedName>
    <definedName name="Dev_FeePercent">'00_JobSetup'!$C$22</definedName>
    <definedName name="DEVE">#REF!</definedName>
    <definedName name="DEVELOPMENT">#REF!</definedName>
    <definedName name="DevelopmentFee">#REF!</definedName>
    <definedName name="DevFee">#REF!</definedName>
    <definedName name="DevFeeType">tblLookups[DevFeeType]</definedName>
    <definedName name="DEVSUM">#REF!</definedName>
    <definedName name="devt_fees96">#REF!</definedName>
    <definedName name="devt_fees97">#REF!</definedName>
    <definedName name="devt_fees98">#REF!</definedName>
    <definedName name="devt_fees99">#REF!</definedName>
    <definedName name="dfad">#REF!</definedName>
    <definedName name="dfd">#REF!,#REF!,#REF!,#REF!</definedName>
    <definedName name="dfdas">{"FCB_ALL",#N/A,FALSE,"FCB";"GREY_ALL",#N/A,FALSE,"GREY"}</definedName>
    <definedName name="dfdfd">{"FCB_ALL",#N/A,FALSE,"FCB";"GREY_ALL",#N/A,FALSE,"GREY"}</definedName>
    <definedName name="dfdfdfd">{"FCB_ALL",#N/A,FALSE,"FCB"}</definedName>
    <definedName name="dfdsf">{#N/A,#N/A,FALSE,"RENT ROLL"}</definedName>
    <definedName name="dfhhdfhgg">#REF!</definedName>
    <definedName name="dfhhghhfdhf">#REF!</definedName>
    <definedName name="dfs">#REF!</definedName>
    <definedName name="dgfhgdhdfgfhd">#REF!</definedName>
    <definedName name="dgh">#REF!</definedName>
    <definedName name="dghdf">#REF!</definedName>
    <definedName name="dghdfhg">#REF!</definedName>
    <definedName name="dghdghgfh">#REF!</definedName>
    <definedName name="dghdghghghhgh">#REF!</definedName>
    <definedName name="dghgdfhhhg">#REF!</definedName>
    <definedName name="dhfggfhgd">#REF!</definedName>
    <definedName name="dhg">#REF!</definedName>
    <definedName name="dhgdfhg">#REF!</definedName>
    <definedName name="dhgdfhgd">#REF!</definedName>
    <definedName name="dhgdfhgdh">#REF!</definedName>
    <definedName name="dhgdfhgdhg">#REF!</definedName>
    <definedName name="dhgdh">#REF!</definedName>
    <definedName name="dhgfghgf">#REF!</definedName>
    <definedName name="dhghdfgfdh">#REF!</definedName>
    <definedName name="dhghdgdhgdhg">#REF!</definedName>
    <definedName name="DHRInterest">#REF!</definedName>
    <definedName name="DIRECT">#REF!</definedName>
    <definedName name="DIRECTORY">#REF!</definedName>
    <definedName name="disc">#REF!</definedName>
    <definedName name="DISCLAIMER">#REF!</definedName>
    <definedName name="discount">#REF!</definedName>
    <definedName name="Discount_Rate">#REF!</definedName>
    <definedName name="DiscountRateNetEffectiveRent">#REF!</definedName>
    <definedName name="discrate">#REF!</definedName>
    <definedName name="DISPFEE">#REF!</definedName>
    <definedName name="dispocaprate">#REF!</definedName>
    <definedName name="DispositionPrice">#REF!</definedName>
    <definedName name="distribution">#REF!</definedName>
    <definedName name="div">36888.4906597222</definedName>
    <definedName name="div_1">36970.5026157407</definedName>
    <definedName name="Division_01">#REF!</definedName>
    <definedName name="Division_02">#REF!</definedName>
    <definedName name="Division_03">#REF!</definedName>
    <definedName name="Division_04">#REF!</definedName>
    <definedName name="Division_05">#REF!</definedName>
    <definedName name="Division_06">#REF!</definedName>
    <definedName name="Division_07">#REF!</definedName>
    <definedName name="Division_08">#REF!</definedName>
    <definedName name="Division_09">#REF!</definedName>
    <definedName name="Division_10">#REF!</definedName>
    <definedName name="Division_11">#REF!</definedName>
    <definedName name="Division_12">#REF!</definedName>
    <definedName name="Division_13">#REF!</definedName>
    <definedName name="Division_14">#REF!</definedName>
    <definedName name="Division_15">#REF!</definedName>
    <definedName name="Division_16">#REF!</definedName>
    <definedName name="Division_20">#REF!</definedName>
    <definedName name="Division_30">#REF!</definedName>
    <definedName name="Division_40">#REF!</definedName>
    <definedName name="Division_50">#REF!</definedName>
    <definedName name="Division_60">#REF!</definedName>
    <definedName name="DockEquipment">#REF!</definedName>
    <definedName name="dodgers">#REF!</definedName>
    <definedName name="dog">{FALSE,FALSE,1.75,1,600,351,FALSE,FALSE,TRUE,TRUE,0,30,#N/A,41,#N/A,9.57777777777778,18.9166666666667,1,FALSE,FALSE,1,TRUE,1,FALSE,100,"Swvu.As._.Is._.Value.","ACwvu.As._.Is._.Value.",1,FALSE,FALSE,1,1,1,1,1,"","",FALSE,FALSE,FALSE,FALSE,1,#N/A,1,1,FALSE,FALSE,FALSE,FALSE,FALSE,FALSE}</definedName>
    <definedName name="done">#REF!</definedName>
    <definedName name="Doors">#REF!</definedName>
    <definedName name="down">#REF!</definedName>
    <definedName name="down04">#REF!</definedName>
    <definedName name="download">#REF!</definedName>
    <definedName name="Dpt">#REF!</definedName>
    <definedName name="drate">#REF!</definedName>
    <definedName name="DRATE1">#N/A</definedName>
    <definedName name="DRATE2">#N/A</definedName>
    <definedName name="DRATE3">#N/A</definedName>
    <definedName name="DRATE4">#N/A</definedName>
    <definedName name="DRAW">#REF!</definedName>
    <definedName name="DRAWTRIX">#REF!</definedName>
    <definedName name="DRESLIST">#REF!</definedName>
    <definedName name="DRESLISTBORDER">#REF!</definedName>
    <definedName name="DREX">#REF!</definedName>
    <definedName name="DRM_EID">46</definedName>
    <definedName name="DRM_EntityName">"Fillmore Property"</definedName>
    <definedName name="DRSUM">#REF!</definedName>
    <definedName name="Drywall">#REF!</definedName>
    <definedName name="DrywallDesc">#REF!</definedName>
    <definedName name="DrywallSub">#REF!</definedName>
    <definedName name="dssdsdsd">{#N/A,#N/A,FALSE,"Matrix";#N/A,#N/A,FALSE,"Cash Flow";#N/A,#N/A,FALSE,"10 Year Cost Analysis"}</definedName>
    <definedName name="Due_Diligence_Reports_Inspections">#REF!</definedName>
    <definedName name="Dumpster">#REF!</definedName>
    <definedName name="durm">#REF!</definedName>
    <definedName name="durw">#REF!</definedName>
    <definedName name="e" localSheetId="11">{"Construction Costs",#N/A,FALSE,"Budget";"Income Statement",#N/A,FALSE,"Budget"}</definedName>
    <definedName name="e">{"Construction Costs",#N/A,FALSE,"Budget";"Income Statement",#N/A,FALSE,"Budget"}</definedName>
    <definedName name="E_D">#REF!</definedName>
    <definedName name="Earnout_Trigger">#REF!</definedName>
    <definedName name="ebit_rec">#REF!</definedName>
    <definedName name="EconomicCaps">#REF!</definedName>
    <definedName name="EconomicCollars">#REF!</definedName>
    <definedName name="EconomicSwaps">#REF!</definedName>
    <definedName name="EconomicUpdate">#REF!</definedName>
    <definedName name="econt">#REF!</definedName>
    <definedName name="ee" localSheetId="11">{#N/A,#N/A,FALSE,"OperatingAssumptions"}</definedName>
    <definedName name="ee">{#N/A,#N/A,FALSE,"OperatingAssumptions"}</definedName>
    <definedName name="eea">{#N/A,#N/A,FALSE}</definedName>
    <definedName name="eee" localSheetId="11">{#N/A,#N/A,FALSE,"OperatingAssumptions"}</definedName>
    <definedName name="eee">{#N/A,#N/A,FALSE,"OperatingAssumptions"}</definedName>
    <definedName name="EGI">#REF!</definedName>
    <definedName name="eight">#REF!</definedName>
    <definedName name="ELAINE">{#N/A,#N/A,FALSE,"RENT ROLL"}</definedName>
    <definedName name="Electrical">#REF!</definedName>
    <definedName name="ElectricalFixtureDesc">#REF!</definedName>
    <definedName name="ElectricalSub">#REF!</definedName>
    <definedName name="ElectricDesc">#REF!</definedName>
    <definedName name="ElectricFixturesSub">#REF!</definedName>
    <definedName name="ElevatorDesc">#REF!</definedName>
    <definedName name="ElevatorSub">#REF!</definedName>
    <definedName name="eleven">#REF!</definedName>
    <definedName name="Elpsd_Tm">#REF!</definedName>
    <definedName name="embcomp">#REF!</definedName>
    <definedName name="Employee_Contrib">#REF!</definedName>
    <definedName name="End_Bal">#REF!</definedName>
    <definedName name="End_Date">#REF!</definedName>
    <definedName name="Ending.Balance">IF(#REF!&lt;&gt;"",#REF!-#REF!,"")</definedName>
    <definedName name="Ending_Balance">#N/A</definedName>
    <definedName name="Energy_Management_System">#REF!</definedName>
    <definedName name="Enrich_Anti___Oxidant">#REF!</definedName>
    <definedName name="entity">#REF!</definedName>
    <definedName name="ENTRIES">#REF!</definedName>
    <definedName name="Epoxy">#REF!</definedName>
    <definedName name="EPRINCEWILL">#REF!</definedName>
    <definedName name="EPS">#REF!</definedName>
    <definedName name="EqualAdj2">#REF!</definedName>
    <definedName name="EQUIPMENT">#REF!</definedName>
    <definedName name="Equity">#REF!</definedName>
    <definedName name="EQUITY_">#REF!</definedName>
    <definedName name="EQUITY_DEBT">#REF!</definedName>
    <definedName name="Equity_Fund">#REF!</definedName>
    <definedName name="Equity_Non_SCM">#REF!</definedName>
    <definedName name="Equity_SCM">#REF!</definedName>
    <definedName name="Equity_Talent_Partner">#REF!</definedName>
    <definedName name="EQUITY10YR">#REF!</definedName>
    <definedName name="equity2">#REF!</definedName>
    <definedName name="equity96">#REF!</definedName>
    <definedName name="equity9697">#REF!</definedName>
    <definedName name="equity97">#REF!</definedName>
    <definedName name="equity971Q">#REF!</definedName>
    <definedName name="equity972Q">#REF!</definedName>
    <definedName name="equity9798">#REF!</definedName>
    <definedName name="equity98">#REF!</definedName>
    <definedName name="equity9899">#REF!</definedName>
    <definedName name="equity99">#REF!</definedName>
    <definedName name="EquityAmort">#REF!</definedName>
    <definedName name="equityear">#REF!</definedName>
    <definedName name="equityinv">#REF!</definedName>
    <definedName name="EquityPercent" localSheetId="11">#REF!</definedName>
    <definedName name="EquityPercent">#REF!</definedName>
    <definedName name="EquityPlacementFee">#REF!</definedName>
    <definedName name="EQUITYPREF">#REF!</definedName>
    <definedName name="Error">#REF!</definedName>
    <definedName name="ErrorCap">#REF!</definedName>
    <definedName name="EsbApplication1">#REF!</definedName>
    <definedName name="EsbDatabase1">#REF!</definedName>
    <definedName name="EsbDetail1">#REF!</definedName>
    <definedName name="EsbHeader1">#REF!</definedName>
    <definedName name="EsbRetrieve1">#REF!</definedName>
    <definedName name="ESCALATE">#REF!</definedName>
    <definedName name="Escrow_Balance_Max">#REF!</definedName>
    <definedName name="Escrow_Release_Date">#REF!</definedName>
    <definedName name="Escrow_Sweep_Pct">#REF!</definedName>
    <definedName name="Escrow_Sweet_End_Date">#REF!</definedName>
    <definedName name="Escrow_Sweet_Start_Date">#REF!</definedName>
    <definedName name="Escrow_Use">#REF!</definedName>
    <definedName name="Escrow_Use_End_Date">#REF!</definedName>
    <definedName name="Escrow_Use_Start_Date">#REF!</definedName>
    <definedName name="Escrow_Uses">#REF!</definedName>
    <definedName name="Escrow_WC_Balance">#REF!</definedName>
    <definedName name="estates">#REF!</definedName>
    <definedName name="estimate">#REF!</definedName>
    <definedName name="EstimateStatus" localSheetId="4">#REF!</definedName>
    <definedName name="EstimateStatus">#REF!</definedName>
    <definedName name="Estimator">#REF!</definedName>
    <definedName name="EstRds">#REF!</definedName>
    <definedName name="ev.Calculation">-4135</definedName>
    <definedName name="ev.Initialized">FALSE</definedName>
    <definedName name="EV__LASTREFTIME__">38331.5080555556</definedName>
    <definedName name="Excavation">#REF!</definedName>
    <definedName name="exchange">900</definedName>
    <definedName name="ExecSumYears" localSheetId="11">#REF!</definedName>
    <definedName name="ExecSumYears">#REF!</definedName>
    <definedName name="EXHIBIT">#REF!</definedName>
    <definedName name="Exhibit_A">#REF!</definedName>
    <definedName name="Exist_Supp">#REF!</definedName>
    <definedName name="existAllCashIRR">#REF!</definedName>
    <definedName name="existCap">#REF!</definedName>
    <definedName name="existCashonCash">#REF!</definedName>
    <definedName name="Existing_Loan_Amort.">#REF!</definedName>
    <definedName name="existLevIRR">#REF!</definedName>
    <definedName name="EXIT">#REF!</definedName>
    <definedName name="exit_cap_rate">#REF!</definedName>
    <definedName name="Exp_As_Pct_Revenues">#REF!</definedName>
    <definedName name="Exp_Mo">#REF!</definedName>
    <definedName name="EXP_Out">#REF!</definedName>
    <definedName name="Exp_Yr">#REF!</definedName>
    <definedName name="expcomp">"Option Button 21"</definedName>
    <definedName name="expense" localSheetId="11">{"Construction Costs",#N/A,FALSE,"Budget";"Income Statement",#N/A,FALSE,"Budget"}</definedName>
    <definedName name="expense">{"Construction Costs",#N/A,FALSE,"Budget";"Income Statement",#N/A,FALSE,"Budget"}</definedName>
    <definedName name="expinet">"Option Button 20"</definedName>
    <definedName name="EXPIRATIONS">#REF!</definedName>
    <definedName name="expout">#REF!</definedName>
    <definedName name="ExpRowDiff">ROW()-7</definedName>
    <definedName name="exptenant">"exptenant"</definedName>
    <definedName name="ExpUp">#REF!</definedName>
    <definedName name="Extra_Pay">#REF!</definedName>
    <definedName name="Eye_Treatment">#REF!</definedName>
    <definedName name="EYECHART">#REF!</definedName>
    <definedName name="f">#REF!</definedName>
    <definedName name="F_F_Facial">#REF!</definedName>
    <definedName name="F_F_Sewdish_50">#REF!</definedName>
    <definedName name="fa">#REF!</definedName>
    <definedName name="FabricPanelsDesc">#REF!</definedName>
    <definedName name="FabricPanelsSub">#REF!</definedName>
    <definedName name="Facade_Improvements">#REF!</definedName>
    <definedName name="Face_Wax">#REF!</definedName>
    <definedName name="Facial_Summer_Special">#REF!</definedName>
    <definedName name="fads">#REF!</definedName>
    <definedName name="FAIROAKS">#REF!</definedName>
    <definedName name="FARAdjustmentFactor">#REF!</definedName>
    <definedName name="FARSF">#REF!</definedName>
    <definedName name="fasddfs">#REF!</definedName>
    <definedName name="FBEXPGR">#REF!</definedName>
    <definedName name="FBREVGR">#REF!</definedName>
    <definedName name="FC_ND_at_Purchase">#REF!</definedName>
    <definedName name="fcosts">#REF!</definedName>
    <definedName name="fdadsfddfsafsd">#REF!</definedName>
    <definedName name="fdf" localSheetId="11">{"Full Sheet",#N/A,FALSE,"Expense Comparison"}</definedName>
    <definedName name="fdf">{"Full Sheet",#N/A,FALSE,"Expense Comparison"}</definedName>
    <definedName name="fdfdfd">{#N/A,#N/A,FALSE,"CAPREIT"}</definedName>
    <definedName name="fdfdfdf">{#N/A,#N/A,FALSE,"CAPREIT"}</definedName>
    <definedName name="fdhgdghhgh">#REF!</definedName>
    <definedName name="fds">{"Annual Cash Flows",#N/A,FALSE,"Annual Summary";"qtrl1",#N/A,FALSE,"QTLY Summary";"qtrl2",#N/A,FALSE,"QTLY Summary";"qtrl3",#N/A,FALSE,"QTLY Summary";"qtrl4",#N/A,FALSE,"QTLY Summary";"qtrl5",#N/A,FALSE,"QTLY Summary";"qtrl6",#N/A,FALSE,"QTLY Summary"}</definedName>
    <definedName name="FEB00">#REF!</definedName>
    <definedName name="FEE">#REF!</definedName>
    <definedName name="fees9610">#REF!</definedName>
    <definedName name="fees9611">#REF!</definedName>
    <definedName name="fees9612">#REF!</definedName>
    <definedName name="fees964">#REF!</definedName>
    <definedName name="fees965">#REF!</definedName>
    <definedName name="fees966">#REF!</definedName>
    <definedName name="fees967">#REF!</definedName>
    <definedName name="fees968">#REF!</definedName>
    <definedName name="fees969">#REF!</definedName>
    <definedName name="fenchuck">{#N/A,#N/A,FALSE,"el.det";#N/A,#N/A,FALSE,"mu.det";#N/A,#N/A,FALSE,"ug.det";#N/A,#N/A,FALSE,"ex.det";#N/A,#N/A,FALSE,"lux.det";#N/A,#N/A,FALSE,"custom.lot";#N/A,#N/A,FALSE,"condo.att";#N/A,#N/A,FALSE,"el.att";#N/A,#N/A,FALSE,"mu.att";#N/A,#N/A,FALSE,"ex.att";#N/A,#N/A,FALSE,"lux.att";#N/A,#N/A,FALSE,"all.by.village"}</definedName>
    <definedName name="ff" localSheetId="11">{#N/A,#N/A,TRUE,"Summary";"AnnualRentRoll",#N/A,TRUE,"RentRoll";#N/A,#N/A,TRUE,"ExitStratigy";#N/A,#N/A,TRUE,"OperatingAssumptions"}</definedName>
    <definedName name="ff">{#N/A,#N/A,TRUE,"Summary";"AnnualRentRoll",#N/A,TRUE,"RentRoll";#N/A,#N/A,TRUE,"ExitStratigy";#N/A,#N/A,TRUE,"OperatingAssumptions"}</definedName>
    <definedName name="FFE">#REF!</definedName>
    <definedName name="fff" localSheetId="11">{#N/A,#N/A,TRUE,"Summary";"AnnualRentRoll",#N/A,TRUE,"RentRoll";#N/A,#N/A,TRUE,"ExitStratigy";#N/A,#N/A,TRUE,"OperatingAssumptions"}</definedName>
    <definedName name="fff">{#N/A,#N/A,TRUE,"Summary";"AnnualRentRoll",#N/A,TRUE,"RentRoll";#N/A,#N/A,TRUE,"ExitStratigy";#N/A,#N/A,TRUE,"OperatingAssumptions"}</definedName>
    <definedName name="fg">{"schedule1",#N/A,FALSE,"Sheet1";"schedule2",#N/A,FALSE,"Sheet1";"schedule3",#N/A,FALSE,"Sheet1";"schedule4",#N/A,FALSE,"Sheet1";"schedule5",#N/A,FALSE,"Sheet1";"schedule6",#N/A,FALSE,"Sheet1"}</definedName>
    <definedName name="Fidelity">#REF!</definedName>
    <definedName name="FILE">#REF!</definedName>
    <definedName name="FILE_busplan.xls">#REF!</definedName>
    <definedName name="FILENAME">#REF!</definedName>
    <definedName name="Fill">#REF!</definedName>
    <definedName name="filler">{"Annual Cash Flows",#N/A,FALSE,"Annual Summary"}</definedName>
    <definedName name="filler2">{"Assumptions",#N/A,FALSE,"Assumptions"}</definedName>
    <definedName name="filler3">{"Construction Costs",#N/A,FALSE,"Total Costs"}</definedName>
    <definedName name="FIN">#REF!</definedName>
    <definedName name="FinalizedDate">#REF!</definedName>
    <definedName name="FINANCE">#REF!</definedName>
    <definedName name="FINCriteriaType">1</definedName>
    <definedName name="FINOptions">"0,0,1,1,1,0,0,-1,0,0,2,0,"</definedName>
    <definedName name="FireExtDesc">#REF!</definedName>
    <definedName name="FireExtSub">#REF!</definedName>
    <definedName name="Fireproofing">#REF!</definedName>
    <definedName name="FireProofingDesc">#REF!</definedName>
    <definedName name="FireProofingSub">#REF!</definedName>
    <definedName name="Firming_Seaweed_Facial">#REF!</definedName>
    <definedName name="First_payment_due">#REF!</definedName>
    <definedName name="First_Pref">#REF!</definedName>
    <definedName name="FirstMonth">#REF!</definedName>
    <definedName name="firstmort">#REF!</definedName>
    <definedName name="FirstMoveIns">#REF!</definedName>
    <definedName name="Firstrow">#REF!</definedName>
    <definedName name="FirstTurnOver">#REF!</definedName>
    <definedName name="firstyear">#REF!</definedName>
    <definedName name="five">#REF!</definedName>
    <definedName name="Five_Yr_IRR">#REF!</definedName>
    <definedName name="fiveirr">#REF!</definedName>
    <definedName name="Fixed1">#REF!</definedName>
    <definedName name="Fixed5">#REF!</definedName>
    <definedName name="FixedRate1">#REF!</definedName>
    <definedName name="FixedRate2">#REF!</definedName>
    <definedName name="Flat_Iron">#REF!</definedName>
    <definedName name="fldfjlsd">#REF!</definedName>
    <definedName name="flex">#REF!</definedName>
    <definedName name="Flex_Input_1">#REF!</definedName>
    <definedName name="Flex_Input_10">#REF!</definedName>
    <definedName name="Flex_Input_11">#REF!</definedName>
    <definedName name="Flex_Input_12">#REF!</definedName>
    <definedName name="Flex_Input_13">#REF!</definedName>
    <definedName name="Flex_Input_2">#REF!</definedName>
    <definedName name="Flex_Input_3">#REF!</definedName>
    <definedName name="Flex_Input_4">#REF!</definedName>
    <definedName name="Flex_Input_5">#REF!</definedName>
    <definedName name="Flex_Input_6">#REF!</definedName>
    <definedName name="Flex_Input_7">#REF!</definedName>
    <definedName name="Flex_Input_8">#REF!</definedName>
    <definedName name="Flex_Input_9">#REF!</definedName>
    <definedName name="FlooringDesc">#REF!</definedName>
    <definedName name="FlooringSub">#REF!</definedName>
    <definedName name="FMV">#REF!</definedName>
    <definedName name="FoldingPartDesc">#REF!</definedName>
    <definedName name="FoldingPartSub">#REF!</definedName>
    <definedName name="fooddef">#REF!</definedName>
    <definedName name="foodpros">#REF!</definedName>
    <definedName name="foodten">#REF!</definedName>
    <definedName name="Forecast">#REF!</definedName>
    <definedName name="Forecast_Status" localSheetId="4">tblLookups[ForecastStatus]</definedName>
    <definedName name="Forecast_Status">tblLookups[ForecastStatus]</definedName>
    <definedName name="FORECAST_TYPE" localSheetId="5">tblLookups[ForecastType]</definedName>
    <definedName name="FORECAST_TYPE" localSheetId="4">tblLookups[ForecastType]</definedName>
    <definedName name="FORECAST_TYPE">tblLookups[ForecastType]</definedName>
    <definedName name="FORM">#REF!</definedName>
    <definedName name="Formulas">#REF!</definedName>
    <definedName name="Formwork">#REF!</definedName>
    <definedName name="forum">{#N/A,#N/A,FALSE,"RENT ROLL"}</definedName>
    <definedName name="forward">(1.1^0.25)</definedName>
    <definedName name="ForwardLength">#REF!</definedName>
    <definedName name="ForwardRateOutput">#REF!</definedName>
    <definedName name="Forwards">#REF!</definedName>
    <definedName name="four">#REF!</definedName>
    <definedName name="fourteen">#REF!</definedName>
    <definedName name="FR">#REF!</definedName>
    <definedName name="FRED">#REF!</definedName>
    <definedName name="FREDERICKSBURG">#REF!</definedName>
    <definedName name="FreeRent">#REF!</definedName>
    <definedName name="French_Braiding">#REF!</definedName>
    <definedName name="Frequency">#REF!</definedName>
    <definedName name="FRONT">{#N/A,#N/A,FALSE,"RENT ROLL"}</definedName>
    <definedName name="fsda">#REF!</definedName>
    <definedName name="FUCKEM">#REF!</definedName>
    <definedName name="fuckface">#REF!</definedName>
    <definedName name="Full_Arm_Wax">#REF!</definedName>
    <definedName name="Full_Leg_Wax">#REF!</definedName>
    <definedName name="Full_Print">#REF!</definedName>
    <definedName name="Fund_Asset_Management_Fee">#REF!</definedName>
    <definedName name="Fund_Average_Cash_On_Cash">#REF!</definedName>
    <definedName name="Fund_Average_Return_Row">#REF!</definedName>
    <definedName name="Fund_Cumulative_Return_Row">#REF!</definedName>
    <definedName name="FUND_I">#REF!</definedName>
    <definedName name="FUND_II">#REF!</definedName>
    <definedName name="FUND_III">#REF!</definedName>
    <definedName name="Fund_IRR_Row">#REF!</definedName>
    <definedName name="FUND_IV">#REF!</definedName>
    <definedName name="Fund_Priority_Sale_Distribution">#REF!</definedName>
    <definedName name="funding">#REF!</definedName>
    <definedName name="FX">#REF!</definedName>
    <definedName name="FY1_RET">#REF!</definedName>
    <definedName name="FY1_RETunit">#REF!</definedName>
    <definedName name="fy1aGPR">#REF!</definedName>
    <definedName name="fy1ERI">#REF!</definedName>
    <definedName name="fy1GPR">#REF!</definedName>
    <definedName name="fy1noi">#REF!</definedName>
    <definedName name="fy1NOIperUnit">#REF!</definedName>
    <definedName name="fy1TE">#REF!</definedName>
    <definedName name="fy1TEperUnit">#REF!</definedName>
    <definedName name="fy1TI">#REF!</definedName>
    <definedName name="fy2NOI">#REF!</definedName>
    <definedName name="g" localSheetId="11">{#N/A,#N/A,FALSE,"A";#N/A,#N/A,FALSE,"B";#N/A,#N/A,FALSE,"C";#N/A,#N/A,FALSE,"D";#N/A,#N/A,FALSE,"E";#N/A,#N/A,FALSE,"F";#N/A,#N/A,FALSE,"G";#N/A,#N/A,FALSE,"H";#N/A,#N/A,FALSE,"I";#N/A,#N/A,FALSE,"J";#N/A,#N/A,FALSE,"K";#N/A,#N/A,FALSE,"L";#N/A,#N/A,FALSE,"M";#N/A,#N/A,FALSE,"N";#N/A,#N/A,FALSE,"O";#N/A,#N/A,FALSE,"P";#N/A,#N/A,FALSE,"Q";#N/A,#N/A,FALSE,"R"}</definedName>
    <definedName name="g">{#N/A,#N/A,FALSE,"A";#N/A,#N/A,FALSE,"B";#N/A,#N/A,FALSE,"C";#N/A,#N/A,FALSE,"D";#N/A,#N/A,FALSE,"E";#N/A,#N/A,FALSE,"F";#N/A,#N/A,FALSE,"G";#N/A,#N/A,FALSE,"H";#N/A,#N/A,FALSE,"I";#N/A,#N/A,FALSE,"J";#N/A,#N/A,FALSE,"K";#N/A,#N/A,FALSE,"L";#N/A,#N/A,FALSE,"M";#N/A,#N/A,FALSE,"N";#N/A,#N/A,FALSE,"O";#N/A,#N/A,FALSE,"P";#N/A,#N/A,FALSE,"Q";#N/A,#N/A,FALSE,"R"}</definedName>
    <definedName name="gab">#REF!</definedName>
    <definedName name="garages">#REF!</definedName>
    <definedName name="garpot">#REF!</definedName>
    <definedName name="gatewaybudget03">{"HEITMAN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GATLINBURG">#REF!</definedName>
    <definedName name="GBA">#REF!</definedName>
    <definedName name="GC">#REF!</definedName>
    <definedName name="GC_FeePercent">'00_JobSetup'!$C$18</definedName>
    <definedName name="GC_InsPercent">'00_JobSetup'!$C$19</definedName>
    <definedName name="GCContingency_percentage">'00_JobSetup'!$C$25</definedName>
    <definedName name="GCFee">#REF!</definedName>
    <definedName name="GenDescr">"Text 4"</definedName>
    <definedName name="General_Growth">#REF!</definedName>
    <definedName name="gft">#REF!</definedName>
    <definedName name="gg" localSheetId="11">{#N/A,#N/A,FALSE,"PropertyInfo"}</definedName>
    <definedName name="gg">{#N/A,#N/A,FALSE,"PropertyInfo"}</definedName>
    <definedName name="ggg" localSheetId="11">{#N/A,#N/A,FALSE,"PropertyInfo"}</definedName>
    <definedName name="ggg">{#N/A,#N/A,FALSE,"PropertyInfo"}</definedName>
    <definedName name="gift">#REF!</definedName>
    <definedName name="gl">#REF!</definedName>
    <definedName name="GLA">#REF!</definedName>
    <definedName name="GLA_1">#REF!</definedName>
    <definedName name="GLA_3">#REF!</definedName>
    <definedName name="GLA_3.15">#REF!</definedName>
    <definedName name="Glass">#REF!</definedName>
    <definedName name="Glaze">#REF!</definedName>
    <definedName name="glf">#REF!</definedName>
    <definedName name="glswitch">#REF!</definedName>
    <definedName name="go" localSheetId="11">{"Construction Costs",#N/A,FALSE,"Budget";"Income Statement",#N/A,FALSE,"Budget"}</definedName>
    <definedName name="go">{"Construction Costs",#N/A,FALSE,"Budget";"Income Statement",#N/A,FALSE,"Budget"}</definedName>
    <definedName name="GOAEXT">#REF!</definedName>
    <definedName name="GOAPEX">#REF!</definedName>
    <definedName name="golf">#REF!</definedName>
    <definedName name="golf1">#REF!</definedName>
    <definedName name="Golfers_Facial_men">#REF!</definedName>
    <definedName name="Golfers_Facial_women">#REF!</definedName>
    <definedName name="Good_News">#REF!</definedName>
    <definedName name="Good_News_Year_Limit">#REF!</definedName>
    <definedName name="Goodwill_Amortization">40</definedName>
    <definedName name="GovGrant">#REF!</definedName>
    <definedName name="GPI">#REF!</definedName>
    <definedName name="GRAND">#REF!</definedName>
    <definedName name="Granular">#REF!</definedName>
    <definedName name="graph123">#REF!</definedName>
    <definedName name="Graph1234">#REF!</definedName>
    <definedName name="Graph12345">#REF!</definedName>
    <definedName name="Graph123456">#REF!</definedName>
    <definedName name="Graph1234567">#REF!</definedName>
    <definedName name="GridAnchor">#REF!</definedName>
    <definedName name="GridBase">#REF!</definedName>
    <definedName name="GROSS_LEASABLE_AREA">#REF!</definedName>
    <definedName name="gross_price">#REF!</definedName>
    <definedName name="Gross_Sched">#REF!</definedName>
    <definedName name="GrossBuildableArea">#REF!</definedName>
    <definedName name="GROSSSFA">#REF!</definedName>
    <definedName name="GROSSSFB">#REF!</definedName>
    <definedName name="GROSSSFD">#REF!</definedName>
    <definedName name="GROSSSFE">#REF!</definedName>
    <definedName name="GrossUpOpEx">#REF!</definedName>
    <definedName name="GROUP_A">#REF!</definedName>
    <definedName name="GROUP_A2">#REF!</definedName>
    <definedName name="GROUP_B">#REF!</definedName>
    <definedName name="GROUP_B2">#REF!</definedName>
    <definedName name="GROUP_C">#REF!</definedName>
    <definedName name="GROUP_D">#REF!</definedName>
    <definedName name="GROUP_E">#REF!</definedName>
    <definedName name="GROUP_F">#REF!</definedName>
    <definedName name="GROUP_G">#REF!</definedName>
    <definedName name="GROUP_H">#REF!</definedName>
    <definedName name="GROUPG">#REF!</definedName>
    <definedName name="GRR">#REF!</definedName>
    <definedName name="GRRBALDUE">#REF!</definedName>
    <definedName name="GRRBORDER">#REF!</definedName>
    <definedName name="GRRPRIOR">#REF!</definedName>
    <definedName name="GSD">#REF!</definedName>
    <definedName name="GSDBALDUE">#REF!</definedName>
    <definedName name="GSDBORDER">#REF!</definedName>
    <definedName name="GSDDEPBEG">#REF!</definedName>
    <definedName name="GSDDEPEND">#REF!</definedName>
    <definedName name="GSDPRIOR">#REF!</definedName>
    <definedName name="GSF">#REF!</definedName>
    <definedName name="gsttr">#REF!</definedName>
    <definedName name="gsttrn">#REF!</definedName>
    <definedName name="gt_hr">#REF!</definedName>
    <definedName name="gt_hr1">#REF!</definedName>
    <definedName name="GUARANTY">#REF!</definedName>
    <definedName name="h" localSheetId="11">{#N/A,#N/A,FALSE,"PropertyInfo"}</definedName>
    <definedName name="h">{#N/A,#N/A,FALSE,"PropertyInfo"}</definedName>
    <definedName name="hacqfee">#REF!</definedName>
    <definedName name="HahnCapLeasing">#REF!</definedName>
    <definedName name="HahnMgmtFee">#REF!</definedName>
    <definedName name="HahnMin">#REF!</definedName>
    <definedName name="HahnNOI">#REF!</definedName>
    <definedName name="HahnOpEx">#REF!</definedName>
    <definedName name="HahnPercentage">#REF!</definedName>
    <definedName name="HahnRecovery">#REF!</definedName>
    <definedName name="HahnRent">#REF!</definedName>
    <definedName name="Half_Leg_Wax">#REF!</definedName>
    <definedName name="Half_Leg_Wax_Lower">#REF!</definedName>
    <definedName name="Half_Leg_Wax_Upper">#REF!</definedName>
    <definedName name="HAO">#REF!</definedName>
    <definedName name="Hard_Cost_Contingency">#REF!</definedName>
    <definedName name="Hard_Pay_Source">#REF!</definedName>
    <definedName name="Hard_Pay_Y_N">#REF!</definedName>
    <definedName name="Hardware">#REF!</definedName>
    <definedName name="HardwareDesc">#REF!</definedName>
    <definedName name="HardwareSub">#REF!</definedName>
    <definedName name="Harmony_Body_Wrap">#REF!</definedName>
    <definedName name="HC">#REF!</definedName>
    <definedName name="HCCont">#REF!</definedName>
    <definedName name="header">#REF!</definedName>
    <definedName name="Header_Row">ROW(#REF!)</definedName>
    <definedName name="Header_Row_Back">ROW(#REF!)</definedName>
    <definedName name="Heading">#REF!</definedName>
    <definedName name="HEALTH">#REF!</definedName>
    <definedName name="health1">#REF!</definedName>
    <definedName name="Hedge_Advantage">#REF!</definedName>
    <definedName name="Hedge10">#REF!</definedName>
    <definedName name="Hedge120">#REF!</definedName>
    <definedName name="Hedge50">#REF!</definedName>
    <definedName name="Hedge520">#REF!</definedName>
    <definedName name="HELLO">#REF!</definedName>
    <definedName name="hgdfhgfhd">#REF!</definedName>
    <definedName name="hh">{#N/A,#N/A,FALSE,"Summary"}</definedName>
    <definedName name="hhh" localSheetId="11">{#N/A,#N/A,FALSE,"Summary"}</definedName>
    <definedName name="hhh">{#N/A,#N/A,FALSE,"Summary"}</definedName>
    <definedName name="Hi_Lites">#REF!</definedName>
    <definedName name="Hi_LPART">#REF!</definedName>
    <definedName name="HiddenRows">#REF!</definedName>
    <definedName name="hinitialK">#REF!</definedName>
    <definedName name="HistoricalRate">#REF!</definedName>
    <definedName name="HistoricalRateOutput">#REF!</definedName>
    <definedName name="Historicals">#REF!</definedName>
    <definedName name="HistYear1">#REF!</definedName>
    <definedName name="HistYear2">#REF!</definedName>
    <definedName name="HistYear3">#REF!</definedName>
    <definedName name="HistYear4">#REF!</definedName>
    <definedName name="HistYear5">#REF!</definedName>
    <definedName name="hlth">#REF!</definedName>
    <definedName name="HMEZZ">#REF!</definedName>
    <definedName name="HMLkUp">#REF!</definedName>
    <definedName name="HMSeek">#REF!</definedName>
    <definedName name="hn.ExtDb">FALSE</definedName>
    <definedName name="hn.ModelType">"DEAL"</definedName>
    <definedName name="hn.ModelVersion">1</definedName>
    <definedName name="hn.NoUpload">0</definedName>
    <definedName name="hn.YearLabel">#REF!</definedName>
    <definedName name="HOLD">#REF!</definedName>
    <definedName name="hold_Cons">#REF!</definedName>
    <definedName name="HoldingPeriod">#REF!</definedName>
    <definedName name="holdnum">#REF!</definedName>
    <definedName name="holdtorrey">#REF!</definedName>
    <definedName name="hole">#REF!</definedName>
    <definedName name="HollowMetalDesc">#REF!</definedName>
    <definedName name="HollowMetalSub">#REF!</definedName>
    <definedName name="homhamcomp">#REF!</definedName>
    <definedName name="hoops">#REF!</definedName>
    <definedName name="Horizon_Group_Properties">#REF!</definedName>
    <definedName name="HOSPITAL_EST">#REF!</definedName>
    <definedName name="HOSPITAL_OUT">#REF!</definedName>
    <definedName name="HOTEL_EST">#REF!</definedName>
    <definedName name="HOTEL_OUT">#REF!</definedName>
    <definedName name="HOTELCONS">#REF!</definedName>
    <definedName name="HotelNOIPSF">#REF!</definedName>
    <definedName name="HotelRSF">#REF!</definedName>
    <definedName name="HotelSale">#REF!</definedName>
    <definedName name="HotelYesNoSwitch">#REF!</definedName>
    <definedName name="hours">#REF!</definedName>
    <definedName name="hoursbudget">#REF!</definedName>
    <definedName name="hrh">#REF!</definedName>
    <definedName name="hrhh">#REF!</definedName>
    <definedName name="hrhh1">#REF!</definedName>
    <definedName name="hrm">#REF!</definedName>
    <definedName name="hrmh">#REF!</definedName>
    <definedName name="hrmh1">#REF!</definedName>
    <definedName name="hspa">#REF!</definedName>
    <definedName name="hspa1">#REF!</definedName>
    <definedName name="HTCE_Indicator">#REF!</definedName>
    <definedName name="hth">#REF!</definedName>
    <definedName name="hthh">#REF!</definedName>
    <definedName name="hthh1">#REF!</definedName>
    <definedName name="hthhh">#REF!</definedName>
    <definedName name="hthhh1">#REF!</definedName>
    <definedName name="hthm">#REF!</definedName>
    <definedName name="hthm1">#REF!</definedName>
    <definedName name="hthmh">#REF!</definedName>
    <definedName name="hthmh1">#REF!</definedName>
    <definedName name="html">{"'Assump'!$F$6:$J$6"}</definedName>
    <definedName name="HTML_CodePage">1252</definedName>
    <definedName name="HTML_Control">{"'Expirations'!$A$1:$L$65"}</definedName>
    <definedName name="HTML_Control1">{"'B-2 QSER Jun 98 4-27-98 cor'!$A$1:$F$57"}</definedName>
    <definedName name="HTML_Control2">{"'Expirations'!$A$1:$L$65"}</definedName>
    <definedName name="HTML_Control5">{"'B-2 QSER Jun 98 4-27-98 cor'!$A$1:$F$57"}</definedName>
    <definedName name="HTML_Ctrl">{"'Expirations'!$A$1:$L$65"}</definedName>
    <definedName name="HTML_Description">""</definedName>
    <definedName name="HTML_Email">""</definedName>
    <definedName name="HTML_Header">"Rolling"</definedName>
    <definedName name="HTML_LastUpdate">"7/24/98"</definedName>
    <definedName name="HTML_LineAfter">FALSE</definedName>
    <definedName name="HTML_LineBefore">FALSE</definedName>
    <definedName name="HTML_Name">"Paulie Englishman"</definedName>
    <definedName name="HTML_OBDlg2">TRUE</definedName>
    <definedName name="HTML_OBDlg3">TRUE</definedName>
    <definedName name="HTML_OBDlg4">TRUE</definedName>
    <definedName name="HTML_OS">0</definedName>
    <definedName name="HTML_PathFile">"C:\My Documents\MyHTML.htm"</definedName>
    <definedName name="HTML_PathTemplate">"J:\REIT\Dec 00\html\Bs09-00.htm"</definedName>
    <definedName name="HTML_Title">"Property Month End Template"</definedName>
    <definedName name="htmlnew">{"'Assump'!$F$6:$J$6"}</definedName>
    <definedName name="HU">#REF!</definedName>
    <definedName name="huh">{#N/A,#N/A,FALSE,"el.det";#N/A,#N/A,FALSE,"mu.det";#N/A,#N/A,FALSE,"ug.det";#N/A,#N/A,FALSE,"ex.det";#N/A,#N/A,FALSE,"lux.det";#N/A,#N/A,FALSE,"custom.lot";#N/A,#N/A,FALSE,"condo.att";#N/A,#N/A,FALSE,"el.att";#N/A,#N/A,FALSE,"mu.att";#N/A,#N/A,FALSE,"ex.att";#N/A,#N/A,FALSE,"lux.att";#N/A,#N/A,FALSE,"all.by.village"}</definedName>
    <definedName name="HURDLE">#REF!</definedName>
    <definedName name="hurdle_rate">#REF!</definedName>
    <definedName name="hurdle_year">#REF!</definedName>
    <definedName name="Hurdle1">#REF!</definedName>
    <definedName name="Hurdle2">#REF!</definedName>
    <definedName name="hurdle3">#REF!</definedName>
    <definedName name="HVAC">#REF!</definedName>
    <definedName name="HVAC_Cooling_Tower___Heat_Pumps">#REF!</definedName>
    <definedName name="HVACDesc">#REF!</definedName>
    <definedName name="HVACSub">#REF!</definedName>
    <definedName name="HYATT">#REF!</definedName>
    <definedName name="Hydrating_Nourisch_Facial">#REF!</definedName>
    <definedName name="i">#REF!</definedName>
    <definedName name="I_Pool">#REF!</definedName>
    <definedName name="IC">#REF!</definedName>
    <definedName name="ID">#REF!</definedName>
    <definedName name="ignore">{#N/A,#N/A,FALSE,"WATCHDSC";#N/A,#N/A,FALSE,"2LOSSMOD";#N/A,#N/A,FALSE,"2LOSS";#N/A,#N/A,FALSE,"DSC";#N/A,#N/A,FALSE,"OPERAT";#N/A,#N/A,FALSE,"ADJUST";#N/A,#N/A,FALSE,"LEASE EXPIRE"}</definedName>
    <definedName name="IHMConsultant">#REF!</definedName>
    <definedName name="IHMFirstProjected">#REF!</definedName>
    <definedName name="IHMLastHistoric">#REF!</definedName>
    <definedName name="IHMLocation">#REF!</definedName>
    <definedName name="IHMModelVersion">#REF!</definedName>
    <definedName name="IHMNumRooms">#REF!</definedName>
    <definedName name="IHMPrintCF1">#REF!</definedName>
    <definedName name="IHMPrintMR1">#REF!</definedName>
    <definedName name="IHMPrintMR2">#REF!</definedName>
    <definedName name="IHMPrintPO1">#REF!</definedName>
    <definedName name="IHMPrintPO2">#REF!</definedName>
    <definedName name="IHMPrintPO3">#REF!</definedName>
    <definedName name="IHMPrintPR1">#REF!</definedName>
    <definedName name="IHMPrintVAL1">#REF!</definedName>
    <definedName name="IHMPrintVAL2">#REF!</definedName>
    <definedName name="IHMProjectCity">#REF!</definedName>
    <definedName name="IHMProjectName">#REF!</definedName>
    <definedName name="IHMProjectState">#REF!</definedName>
    <definedName name="IHMPropertyLocation">#REF!</definedName>
    <definedName name="IHMReviewer">#REF!</definedName>
    <definedName name="IIi">{#N/A,#N/A,FALSE,"Sheet1"}</definedName>
    <definedName name="IJ">#REF!</definedName>
    <definedName name="IJC">#REF!</definedName>
    <definedName name="immediate">{"sheet a",#N/A,FALSE,"A";"2 9 casflow",#N/A,FALSE,"B"}</definedName>
    <definedName name="impairment">#REF!</definedName>
    <definedName name="In">#REF!</definedName>
    <definedName name="In_Room_Massage_50_min">#REF!</definedName>
    <definedName name="In_Room_Massage_75_min">#REF!</definedName>
    <definedName name="INCENTIVE">#REF!</definedName>
    <definedName name="INCOME">#REF!</definedName>
    <definedName name="Increase">#REF!</definedName>
    <definedName name="Index">#REF!</definedName>
    <definedName name="IndexId">#REF!</definedName>
    <definedName name="IndexList">#REF!</definedName>
    <definedName name="IndexLookup">#REF!</definedName>
    <definedName name="IndexName">#REF!</definedName>
    <definedName name="inflation">#REF!</definedName>
    <definedName name="INFO">#REF!</definedName>
    <definedName name="INITIAL">#REF!</definedName>
    <definedName name="Initial_Operating_Reserve">#REF!</definedName>
    <definedName name="Initial_Operating_Reserve_Normal">#REF!</definedName>
    <definedName name="InitializeCommand">"$d$1"</definedName>
    <definedName name="InitialK">#REF!</definedName>
    <definedName name="InitialOccupancyDate">#REF!</definedName>
    <definedName name="InitialOccupancyMonth">#REF!</definedName>
    <definedName name="INITINV">#REF!</definedName>
    <definedName name="inplace">#REF!</definedName>
    <definedName name="inplacea">#REF!</definedName>
    <definedName name="InPlaceRecovery" localSheetId="11">#REF!</definedName>
    <definedName name="InPlaceRecovery">#REF!</definedName>
    <definedName name="INPUT">#REF!</definedName>
    <definedName name="INPUT_2">#REF!</definedName>
    <definedName name="INPUT_3">#REF!</definedName>
    <definedName name="INPUT_4">#REF!</definedName>
    <definedName name="Input1">#REF!</definedName>
    <definedName name="input2">#REF!</definedName>
    <definedName name="input3">#REF!</definedName>
    <definedName name="InputDisp" localSheetId="11">#REF!</definedName>
    <definedName name="InputDisp">#REF!</definedName>
    <definedName name="inputs">#REF!</definedName>
    <definedName name="Ins">#REF!</definedName>
    <definedName name="INSCODE">#REF!</definedName>
    <definedName name="Insert">#REF!</definedName>
    <definedName name="Insert1">#REF!</definedName>
    <definedName name="insertwith">#REF!</definedName>
    <definedName name="inst_equity">#REF!</definedName>
    <definedName name="Insurance">#REF!</definedName>
    <definedName name="Int">#REF!</definedName>
    <definedName name="Int_exp">8%</definedName>
    <definedName name="Int_Lev_Adjust_Amt">#REF!</definedName>
    <definedName name="Int_Lev_Base_Rate">#REF!</definedName>
    <definedName name="Int_Lev_Cmt_Fee">#REF!</definedName>
    <definedName name="Int_Lev_Exit_Fee">#REF!</definedName>
    <definedName name="Int_Lev_Flt_Rate_Month_Lock">#REF!</definedName>
    <definedName name="Int_Lev_Index">#REF!</definedName>
    <definedName name="Int_Lev_Month_Adjust">#REF!</definedName>
    <definedName name="Int_Lev_Pct">#REF!</definedName>
    <definedName name="Int_Lev_Rate_Cap">#REF!</definedName>
    <definedName name="Int_Lev_Rate_Spread">#REF!</definedName>
    <definedName name="INT_RATE">#REF!</definedName>
    <definedName name="Intensive_Moisturizing_Facial">#REF!</definedName>
    <definedName name="IntEquity">#REF!</definedName>
    <definedName name="Interest">IF(#REF!&lt;&gt;"",#REF!*#REF!,"")</definedName>
    <definedName name="Interest_10Yr">#REF!</definedName>
    <definedName name="Interest_12Yr">#REF!</definedName>
    <definedName name="Interest_2Yr">#REF!</definedName>
    <definedName name="Interest_3Yr">#REF!</definedName>
    <definedName name="Interest_5Yr">#REF!</definedName>
    <definedName name="Interest_7Yr">#REF!</definedName>
    <definedName name="Interest_Rate">#REF!</definedName>
    <definedName name="INTEREST1">#REF!</definedName>
    <definedName name="INTEREST2">#REF!</definedName>
    <definedName name="INTEREST3">#REF!</definedName>
    <definedName name="interestrate">#REF!</definedName>
    <definedName name="InterestRateFormatted">#REF!</definedName>
    <definedName name="INTERIORS">#REF!</definedName>
    <definedName name="Internal_Lev_Y_N">#REF!</definedName>
    <definedName name="IntLoan1">#REF!</definedName>
    <definedName name="IntLoan2">#REF!</definedName>
    <definedName name="IntPartner">#REF!</definedName>
    <definedName name="INTR1">#REF!</definedName>
    <definedName name="INTR2">#REF!</definedName>
    <definedName name="INTR3">#REF!</definedName>
    <definedName name="INTR4">#REF!</definedName>
    <definedName name="INTRATE">#REF!</definedName>
    <definedName name="intrate_00">#REF!</definedName>
    <definedName name="intrate_01">#REF!</definedName>
    <definedName name="intrate_02">#REF!</definedName>
    <definedName name="intrate_97">#REF!</definedName>
    <definedName name="intrate_98">#REF!</definedName>
    <definedName name="intrate_99">#REF!</definedName>
    <definedName name="intro">"Dialog Frame 1"</definedName>
    <definedName name="IntroPrintArea">#REF!</definedName>
    <definedName name="Inv">#REF!</definedName>
    <definedName name="inv_equity">#REF!</definedName>
    <definedName name="InvEquity">#REF!</definedName>
    <definedName name="Investment_Summary_by_Fund">#REF!</definedName>
    <definedName name="INVESTOR">#REF!</definedName>
    <definedName name="Investor_Split">#REF!</definedName>
    <definedName name="INVSUM">#REF!</definedName>
    <definedName name="INVSUM100">#REF!</definedName>
    <definedName name="IO_10yr">#REF!</definedName>
    <definedName name="IO_10yr_Balance">#REF!</definedName>
    <definedName name="IO_12Yr">#REF!</definedName>
    <definedName name="IO_12Yr_Balance">#REF!</definedName>
    <definedName name="IO_2Yr">#REF!</definedName>
    <definedName name="IO_2Yr_Balance">#REF!</definedName>
    <definedName name="IO_3Yr">#REF!</definedName>
    <definedName name="IO_3Yr_Balance">#REF!</definedName>
    <definedName name="IO_5yr">#REF!</definedName>
    <definedName name="IO_5Yr_Balance">#REF!</definedName>
    <definedName name="IO_7Yr">#REF!</definedName>
    <definedName name="IO_7Yr_Balance">#REF!</definedName>
    <definedName name="IO_Assume">#REF!</definedName>
    <definedName name="IO_Period">#REF!</definedName>
    <definedName name="IO_Period_10yr">#REF!</definedName>
    <definedName name="IO_Period_12Yr">#REF!</definedName>
    <definedName name="IO_Period_2Yr">#REF!</definedName>
    <definedName name="IO_Period_3Yr">#REF!</definedName>
    <definedName name="IO_Period_5Yr">#REF!</definedName>
    <definedName name="IO_Period_7Yr">#REF!</definedName>
    <definedName name="IP">#REF!</definedName>
    <definedName name="IQ_ACCOUNT_CHANGE">"c1449"</definedName>
    <definedName name="IQ_ACCOUNTING_STANDARD">"c4539"</definedName>
    <definedName name="IQ_ACCOUNTS_PAY">"c1343"</definedName>
    <definedName name="IQ_ACCR_INT_PAY">"c1"</definedName>
    <definedName name="IQ_ACCR_INT_PAY_CF">"c2"</definedName>
    <definedName name="IQ_ACCR_INT_RECEIV">"c3"</definedName>
    <definedName name="IQ_ACCR_INT_RECEIV_CF">"c4"</definedName>
    <definedName name="IQ_ACCRUED_EXP">"c1341"</definedName>
    <definedName name="IQ_ACCT_RECV_10YR_ANN_GROWTH">"c1924"</definedName>
    <definedName name="IQ_ACCT_RECV_1YR_ANN_GROWTH">"c1919"</definedName>
    <definedName name="IQ_ACCT_RECV_2YR_ANN_GROWTH">"c1920"</definedName>
    <definedName name="IQ_ACCT_RECV_3YR_ANN_GROWTH">"c1921"</definedName>
    <definedName name="IQ_ACCT_RECV_5YR_ANN_GROWTH">"c1922"</definedName>
    <definedName name="IQ_ACCT_RECV_7YR_ANN_GROWTH">"c1923"</definedName>
    <definedName name="IQ_ACCUM_DEP">"c1340"</definedName>
    <definedName name="IQ_ACCUMULATED_PENSION_OBLIGATION">"c2244"</definedName>
    <definedName name="IQ_ACCUMULATED_PENSION_OBLIGATION_DOMESTIC">"c2657"</definedName>
    <definedName name="IQ_ACCUMULATED_PENSION_OBLIGATION_FOREIGN">"c2665"</definedName>
    <definedName name="IQ_ACQ_COST_SUB">"c2125"</definedName>
    <definedName name="IQ_ACQ_COSTS_CAPITALIZED">"c5"</definedName>
    <definedName name="IQ_ACQUIRE_REAL_ESTATE_CF">"c6"</definedName>
    <definedName name="IQ_ACQUISITION_RE_ASSETS">"c1628"</definedName>
    <definedName name="IQ_AD">"c7"</definedName>
    <definedName name="IQ_ADD_PAID_IN">"c1344"</definedName>
    <definedName name="IQ_ADDIN">"AUTO"</definedName>
    <definedName name="IQ_ADJ_AVG_BANK_ASSETS">"c2671"</definedName>
    <definedName name="IQ_ADMIN_RATIO">"c2784"</definedName>
    <definedName name="IQ_ADVERTISING">"c2246"</definedName>
    <definedName name="IQ_ADVERTISING_MARKETING">"c1566"</definedName>
    <definedName name="IQ_AE">"c8"</definedName>
    <definedName name="IQ_AE_BNK">"c9"</definedName>
    <definedName name="IQ_AE_BR">"c10"</definedName>
    <definedName name="IQ_AE_FIN">"c11"</definedName>
    <definedName name="IQ_AE_INS">"c12"</definedName>
    <definedName name="IQ_AE_REIT">"c13"</definedName>
    <definedName name="IQ_AE_UTI">"c14"</definedName>
    <definedName name="IQ_AH_EARNED">"c2744"</definedName>
    <definedName name="IQ_AH_POLICY_BENEFITS_EXP">"c2789"</definedName>
    <definedName name="IQ_AIR_AIRPLANES_NOT_IN_SERVICE">"c2842"</definedName>
    <definedName name="IQ_AIR_AIRPLANES_SUBLEASED">"c2841"</definedName>
    <definedName name="IQ_AIR_ASK">"c2813"</definedName>
    <definedName name="IQ_AIR_ASK_INCREASE">"c2826"</definedName>
    <definedName name="IQ_AIR_ASM">"c2812"</definedName>
    <definedName name="IQ_AIR_ASM_INCREASE">"c2825"</definedName>
    <definedName name="IQ_AIR_AVG_AGE">"c2843"</definedName>
    <definedName name="IQ_AIR_BREAK_EVEN_FACTOR">"c2822"</definedName>
    <definedName name="IQ_AIR_CAPITAL_LEASE">"c2833"</definedName>
    <definedName name="IQ_AIR_COMPLETION_FACTOR">"c2824"</definedName>
    <definedName name="IQ_AIR_ENPLANED_PSGRS">"c2809"</definedName>
    <definedName name="IQ_AIR_FUEL_CONSUMED">"c2806"</definedName>
    <definedName name="IQ_AIR_FUEL_CONSUMED_L">"c2807"</definedName>
    <definedName name="IQ_AIR_FUEL_COST">"c2803"</definedName>
    <definedName name="IQ_AIR_FUEL_COST_L">"c2804"</definedName>
    <definedName name="IQ_AIR_FUEL_EXP">"c2802"</definedName>
    <definedName name="IQ_AIR_FUEL_EXP_PERCENT">"c2805"</definedName>
    <definedName name="IQ_AIR_LEASED">"c2835"</definedName>
    <definedName name="IQ_AIR_LOAD_FACTOR">"c2823"</definedName>
    <definedName name="IQ_AIR_NEW_AIRPLANES">"c2839"</definedName>
    <definedName name="IQ_AIR_OPER_EXP_ASK">"c2821"</definedName>
    <definedName name="IQ_AIR_OPER_EXP_ASM">"c2820"</definedName>
    <definedName name="IQ_AIR_OPER_LEASE">"c2834"</definedName>
    <definedName name="IQ_AIR_OPER_REV_YIELD_ASK">"c2819"</definedName>
    <definedName name="IQ_AIR_OPER_REV_YIELD_ASM">"c2818"</definedName>
    <definedName name="IQ_AIR_OPTIONS">"c2837"</definedName>
    <definedName name="IQ_AIR_ORDERS">"c2836"</definedName>
    <definedName name="IQ_AIR_OWNED">"c2832"</definedName>
    <definedName name="IQ_AIR_PSGR_REV_YIELD_ASK">"c2817"</definedName>
    <definedName name="IQ_AIR_PSGR_REV_YIELD_ASM">"c2816"</definedName>
    <definedName name="IQ_AIR_PSGR_REV_YIELD_RPK">"c2815"</definedName>
    <definedName name="IQ_AIR_PSGR_REV_YIELD_RPM">"c2814"</definedName>
    <definedName name="IQ_AIR_PURCHASE_RIGHTS">"c2838"</definedName>
    <definedName name="IQ_AIR_RETIRED_AIRPLANES">"c2840"</definedName>
    <definedName name="IQ_AIR_REV_PSGRS_CARRIED">"c2808"</definedName>
    <definedName name="IQ_AIR_REV_SCHEDULED_SERVICE">"c2830"</definedName>
    <definedName name="IQ_AIR_RPK">"c2811"</definedName>
    <definedName name="IQ_AIR_RPM">"c2810"</definedName>
    <definedName name="IQ_AIR_STAGE_LENGTH">"c2828"</definedName>
    <definedName name="IQ_AIR_STAGE_LENGTH_KM">"c2829"</definedName>
    <definedName name="IQ_AIR_TOTAL">"c2831"</definedName>
    <definedName name="IQ_AIR_UTILIZATION">"c2827"</definedName>
    <definedName name="IQ_ALLOW_BORROW_CONST">"c15"</definedName>
    <definedName name="IQ_ALLOW_CONST">"c1342"</definedName>
    <definedName name="IQ_ALLOW_DOUBT_ACCT">"c2092"</definedName>
    <definedName name="IQ_ALLOW_EQUITY_CONST">"c16"</definedName>
    <definedName name="IQ_ALLOW_LL">"c17"</definedName>
    <definedName name="IQ_ALLOWANCE_10YR_ANN_GROWTH">"c18"</definedName>
    <definedName name="IQ_ALLOWANCE_1YR_ANN_GROWTH">"c19"</definedName>
    <definedName name="IQ_ALLOWANCE_2YR_ANN_GROWTH">"c20"</definedName>
    <definedName name="IQ_ALLOWANCE_3YR_ANN_GROWTH">"c21"</definedName>
    <definedName name="IQ_ALLOWANCE_5YR_ANN_GROWTH">"c22"</definedName>
    <definedName name="IQ_ALLOWANCE_7YR_ANN_GROWTH">"c23"</definedName>
    <definedName name="IQ_ALLOWANCE_CHARGE_OFFS">"c24"</definedName>
    <definedName name="IQ_ALLOWANCE_NON_PERF_LOANS">"c25"</definedName>
    <definedName name="IQ_ALLOWANCE_TOTAL_LOANS">"c26"</definedName>
    <definedName name="IQ_AMORTIZATION">"c1591"</definedName>
    <definedName name="IQ_AMT_OUT">"c2145"</definedName>
    <definedName name="IQ_ANNU_DISTRIBUTION_UNIT">"c3004"</definedName>
    <definedName name="IQ_ANNUALIZED_DIVIDEND">"c1579"</definedName>
    <definedName name="IQ_ANNUITY_LIAB">"c27"</definedName>
    <definedName name="IQ_ANNUITY_PAY">"c28"</definedName>
    <definedName name="IQ_ANNUITY_POLICY_EXP">"c29"</definedName>
    <definedName name="IQ_ANNUITY_REC">"c30"</definedName>
    <definedName name="IQ_ANNUITY_REV">"c31"</definedName>
    <definedName name="IQ_AP">"c32"</definedName>
    <definedName name="IQ_AP_BNK">"c33"</definedName>
    <definedName name="IQ_AP_BR">"c34"</definedName>
    <definedName name="IQ_AP_FIN">"c35"</definedName>
    <definedName name="IQ_AP_INS">"c36"</definedName>
    <definedName name="IQ_AP_REIT">"c37"</definedName>
    <definedName name="IQ_AP_UTI">"c38"</definedName>
    <definedName name="IQ_APIC">"c39"</definedName>
    <definedName name="IQ_AR">"c40"</definedName>
    <definedName name="IQ_AR_BR">"c41"</definedName>
    <definedName name="IQ_AR_LT">"c42"</definedName>
    <definedName name="IQ_AR_REIT">"c43"</definedName>
    <definedName name="IQ_AR_TURNS">"c44"</definedName>
    <definedName name="IQ_AR_UTI">"c45"</definedName>
    <definedName name="IQ_ARPU">"c2126"</definedName>
    <definedName name="IQ_ASSET_MGMT_FEE">"c46"</definedName>
    <definedName name="IQ_ASSET_TURNS">"c47"</definedName>
    <definedName name="IQ_ASSET_WRITEDOWN">"c48"</definedName>
    <definedName name="IQ_ASSET_WRITEDOWN_BNK">"c49"</definedName>
    <definedName name="IQ_ASSET_WRITEDOWN_BR">"c50"</definedName>
    <definedName name="IQ_ASSET_WRITEDOWN_CF">"c51"</definedName>
    <definedName name="IQ_ASSET_WRITEDOWN_CF_BNK">"c52"</definedName>
    <definedName name="IQ_ASSET_WRITEDOWN_CF_BR">"c53"</definedName>
    <definedName name="IQ_ASSET_WRITEDOWN_CF_FIN">"c54"</definedName>
    <definedName name="IQ_ASSET_WRITEDOWN_CF_INS">"c55"</definedName>
    <definedName name="IQ_ASSET_WRITEDOWN_CF_REIT">"c56"</definedName>
    <definedName name="IQ_ASSET_WRITEDOWN_CF_UTI">"c57"</definedName>
    <definedName name="IQ_ASSET_WRITEDOWN_FIN">"c58"</definedName>
    <definedName name="IQ_ASSET_WRITEDOWN_INS">"c59"</definedName>
    <definedName name="IQ_ASSET_WRITEDOWN_REIT">"c60"</definedName>
    <definedName name="IQ_ASSET_WRITEDOWN_UTI">"c61"</definedName>
    <definedName name="IQ_ASSETS_CAP_LEASE_DEPR">"c2068"</definedName>
    <definedName name="IQ_ASSETS_CAP_LEASE_GROSS">"c2069"</definedName>
    <definedName name="IQ_ASSETS_OPER_LEASE_DEPR">"c2070"</definedName>
    <definedName name="IQ_ASSETS_OPER_LEASE_GROSS">"c2071"</definedName>
    <definedName name="IQ_ASSUMED_AH_EARNED">"c2741"</definedName>
    <definedName name="IQ_ASSUMED_EARNED">"c2731"</definedName>
    <definedName name="IQ_ASSUMED_LIFE_EARNED">"c2736"</definedName>
    <definedName name="IQ_ASSUMED_LIFE_IN_FORCE">"c2766"</definedName>
    <definedName name="IQ_ASSUMED_PC_EARNED">"c2746"</definedName>
    <definedName name="IQ_ASSUMED_WRITTEN">"c2725"</definedName>
    <definedName name="IQ_AUDITOR_NAME">"c1539"</definedName>
    <definedName name="IQ_AUDITOR_OPINION">"c1540"</definedName>
    <definedName name="IQ_AUTO_WRITTEN">"c62"</definedName>
    <definedName name="IQ_AVG_BANK_ASSETS">"c2072"</definedName>
    <definedName name="IQ_AVG_BANK_LOANS">"c2073"</definedName>
    <definedName name="IQ_AVG_BROKER_REC">"c63"</definedName>
    <definedName name="IQ_AVG_BROKER_REC_NO">"c64"</definedName>
    <definedName name="IQ_AVG_BROKER_REC_NO_REUT">"c5315"</definedName>
    <definedName name="IQ_AVG_BROKER_REC_REUT">"c3630"</definedName>
    <definedName name="IQ_AVG_DAILY_VOL">"c65"</definedName>
    <definedName name="IQ_AVG_INDUSTRY_REC">"c4455"</definedName>
    <definedName name="IQ_AVG_INDUSTRY_REC_NO">"c4454"</definedName>
    <definedName name="IQ_AVG_INT_BEAR_LIAB">"c66"</definedName>
    <definedName name="IQ_AVG_INT_BEAR_LIAB_10YR_ANN_GROWTH">"c67"</definedName>
    <definedName name="IQ_AVG_INT_BEAR_LIAB_1YR_ANN_GROWTH">"c68"</definedName>
    <definedName name="IQ_AVG_INT_BEAR_LIAB_2YR_ANN_GROWTH">"c69"</definedName>
    <definedName name="IQ_AVG_INT_BEAR_LIAB_3YR_ANN_GROWTH">"c70"</definedName>
    <definedName name="IQ_AVG_INT_BEAR_LIAB_5YR_ANN_GROWTH">"c71"</definedName>
    <definedName name="IQ_AVG_INT_BEAR_LIAB_7YR_ANN_GROWTH">"c72"</definedName>
    <definedName name="IQ_AVG_INT_EARN_ASSETS">"c73"</definedName>
    <definedName name="IQ_AVG_INT_EARN_ASSETS_10YR_ANN_GROWTH">"c74"</definedName>
    <definedName name="IQ_AVG_INT_EARN_ASSETS_1YR_ANN_GROWTH">"c75"</definedName>
    <definedName name="IQ_AVG_INT_EARN_ASSETS_2YR_ANN_GROWTH">"c76"</definedName>
    <definedName name="IQ_AVG_INT_EARN_ASSETS_3YR_ANN_GROWTH">"c77"</definedName>
    <definedName name="IQ_AVG_INT_EARN_ASSETS_5YR_ANN_GROWTH">"c78"</definedName>
    <definedName name="IQ_AVG_INT_EARN_ASSETS_7YR_ANN_GROWTH">"c79"</definedName>
    <definedName name="IQ_AVG_MKTCAP">"c80"</definedName>
    <definedName name="IQ_AVG_PRICE">"c81"</definedName>
    <definedName name="IQ_AVG_PRICE_TARGET">"c82"</definedName>
    <definedName name="IQ_AVG_SHAREOUTSTANDING">"c83"</definedName>
    <definedName name="IQ_AVG_TEV">"c84"</definedName>
    <definedName name="IQ_AVG_VOLUME">"c1346"</definedName>
    <definedName name="IQ_BALANCE_GOODS_APR_FC_UNUSED_UNUSED_UNUSED">"c8353"</definedName>
    <definedName name="IQ_BALANCE_GOODS_APR_UNUSED_UNUSED_UNUSED">"c7473"</definedName>
    <definedName name="IQ_BALANCE_GOODS_FC_UNUSED_UNUSED_UNUSED">"c7693"</definedName>
    <definedName name="IQ_BALANCE_GOODS_POP_FC_UNUSED_UNUSED_UNUSED">"c7913"</definedName>
    <definedName name="IQ_BALANCE_GOODS_POP_UNUSED_UNUSED_UNUSED">"c7033"</definedName>
    <definedName name="IQ_BALANCE_GOODS_UNUSED_UNUSED_UNUSED">"c6813"</definedName>
    <definedName name="IQ_BALANCE_GOODS_YOY_FC_UNUSED_UNUSED_UNUSED">"c8133"</definedName>
    <definedName name="IQ_BALANCE_GOODS_YOY_UNUSED_UNUSED_UNUSED">"c7253"</definedName>
    <definedName name="IQ_BALANCE_SERV_APR_FC_UNUSED_UNUSED_UNUSED">"c8355"</definedName>
    <definedName name="IQ_BALANCE_SERV_APR_UNUSED_UNUSED_UNUSED">"c7475"</definedName>
    <definedName name="IQ_BALANCE_SERV_FC_UNUSED_UNUSED_UNUSED">"c7695"</definedName>
    <definedName name="IQ_BALANCE_SERV_POP_FC_UNUSED_UNUSED_UNUSED">"c7915"</definedName>
    <definedName name="IQ_BALANCE_SERV_POP_UNUSED_UNUSED_UNUSED">"c7035"</definedName>
    <definedName name="IQ_BALANCE_SERV_UNUSED_UNUSED_UNUSED">"c6815"</definedName>
    <definedName name="IQ_BALANCE_SERV_YOY_FC_UNUSED_UNUSED_UNUSED">"c8135"</definedName>
    <definedName name="IQ_BALANCE_SERV_YOY_UNUSED_UNUSED_UNUSED">"c7255"</definedName>
    <definedName name="IQ_BALANCE_TRADE_APR_FC_UNUSED_UNUSED_UNUSED">"c8357"</definedName>
    <definedName name="IQ_BALANCE_TRADE_APR_UNUSED_UNUSED_UNUSED">"c7477"</definedName>
    <definedName name="IQ_BALANCE_TRADE_FC_UNUSED_UNUSED_UNUSED">"c7697"</definedName>
    <definedName name="IQ_BALANCE_TRADE_POP_FC_UNUSED_UNUSED_UNUSED">"c7917"</definedName>
    <definedName name="IQ_BALANCE_TRADE_POP_UNUSED_UNUSED_UNUSED">"c7037"</definedName>
    <definedName name="IQ_BALANCE_TRADE_UNUSED_UNUSED_UNUSED">"c6817"</definedName>
    <definedName name="IQ_BALANCE_TRADE_YOY_FC_UNUSED_UNUSED_UNUSED">"c8137"</definedName>
    <definedName name="IQ_BALANCE_TRADE_YOY_UNUSED_UNUSED_UNUSED">"c7257"</definedName>
    <definedName name="IQ_BANK_DEBT">"c2544"</definedName>
    <definedName name="IQ_BANK_DEBT_PCT">"c2545"</definedName>
    <definedName name="IQ_BASIC_EPS_EXCL">"c85"</definedName>
    <definedName name="IQ_BASIC_EPS_INCL">"c86"</definedName>
    <definedName name="IQ_BASIC_NORMAL_EPS">"c1592"</definedName>
    <definedName name="IQ_BASIC_OUTSTANDING_CURRENT_EST">"c4128"</definedName>
    <definedName name="IQ_BASIC_OUTSTANDING_CURRENT_HIGH_EST">"c4129"</definedName>
    <definedName name="IQ_BASIC_OUTSTANDING_CURRENT_LOW_EST">"c4130"</definedName>
    <definedName name="IQ_BASIC_OUTSTANDING_CURRENT_MEDIAN_EST">"c4131"</definedName>
    <definedName name="IQ_BASIC_OUTSTANDING_CURRENT_NUM_EST">"c4132"</definedName>
    <definedName name="IQ_BASIC_OUTSTANDING_CURRENT_STDDEV_EST">"c4133"</definedName>
    <definedName name="IQ_BASIC_OUTSTANDING_EST">"c4134"</definedName>
    <definedName name="IQ_BASIC_OUTSTANDING_HIGH_EST">"c4135"</definedName>
    <definedName name="IQ_BASIC_OUTSTANDING_LOW_EST">"c4136"</definedName>
    <definedName name="IQ_BASIC_OUTSTANDING_MEDIAN_EST">"c4137"</definedName>
    <definedName name="IQ_BASIC_OUTSTANDING_NUM_EST">"c4138"</definedName>
    <definedName name="IQ_BASIC_OUTSTANDING_STDDEV_EST">"c4139"</definedName>
    <definedName name="IQ_BASIC_WEIGHT">"c87"</definedName>
    <definedName name="IQ_BASIC_WEIGHT_EST">"c4140"</definedName>
    <definedName name="IQ_BASIC_WEIGHT_GUIDANCE">"c4141"</definedName>
    <definedName name="IQ_BASIC_WEIGHT_HIGH_EST">"c4142"</definedName>
    <definedName name="IQ_BASIC_WEIGHT_LOW_EST">"c4143"</definedName>
    <definedName name="IQ_BASIC_WEIGHT_MEDIAN_EST">"c4144"</definedName>
    <definedName name="IQ_BASIC_WEIGHT_NUM_EST">"c4145"</definedName>
    <definedName name="IQ_BASIC_WEIGHT_STDDEV_EST">"c4146"</definedName>
    <definedName name="IQ_BENCHMARK_SECURITY">"c2154"</definedName>
    <definedName name="IQ_BENCHMARK_SPRD">"c2153"</definedName>
    <definedName name="IQ_BETA">"c2133"</definedName>
    <definedName name="IQ_BETA_1YR">"c1966"</definedName>
    <definedName name="IQ_BETA_1YR_RSQ">"c2132"</definedName>
    <definedName name="IQ_BETA_2YR">"c1965"</definedName>
    <definedName name="IQ_BETA_2YR_RSQ">"c2131"</definedName>
    <definedName name="IQ_BETA_5YR">"c88"</definedName>
    <definedName name="IQ_BETA_5YR_RSQ">"c2130"</definedName>
    <definedName name="IQ_BIG_INT_BEAR_CD">"c89"</definedName>
    <definedName name="IQ_BOARD_MEMBER">"c96"</definedName>
    <definedName name="IQ_BOARD_MEMBER_BACKGROUND">"c2101"</definedName>
    <definedName name="IQ_BOARD_MEMBER_TITLE">"c97"</definedName>
    <definedName name="IQ_BOND_COUPON">"c2183"</definedName>
    <definedName name="IQ_BOND_COUPON_TYPE">"c2184"</definedName>
    <definedName name="IQ_BOND_PRICE">"c2162"</definedName>
    <definedName name="IQ_BROK_COMISSION">"c98"</definedName>
    <definedName name="IQ_BROK_COMMISSION">"c3514"</definedName>
    <definedName name="IQ_BUDGET_BALANCE_APR_FC_UNUSED_UNUSED_UNUSED">"c8359"</definedName>
    <definedName name="IQ_BUDGET_BALANCE_APR_UNUSED_UNUSED_UNUSED">"c7479"</definedName>
    <definedName name="IQ_BUDGET_BALANCE_FC_UNUSED_UNUSED_UNUSED">"c7699"</definedName>
    <definedName name="IQ_BUDGET_BALANCE_POP_FC_UNUSED_UNUSED_UNUSED">"c7919"</definedName>
    <definedName name="IQ_BUDGET_BALANCE_POP_UNUSED_UNUSED_UNUSED">"c7039"</definedName>
    <definedName name="IQ_BUDGET_BALANCE_UNUSED_UNUSED_UNUSED">"c6819"</definedName>
    <definedName name="IQ_BUDGET_BALANCE_YOY_FC_UNUSED_UNUSED_UNUSED">"c8139"</definedName>
    <definedName name="IQ_BUDGET_BALANCE_YOY_UNUSED_UNUSED_UNUSED">"c7259"</definedName>
    <definedName name="IQ_BUDGET_RECEIPTS_APR_FC_UNUSED_UNUSED_UNUSED">"c8361"</definedName>
    <definedName name="IQ_BUDGET_RECEIPTS_APR_UNUSED_UNUSED_UNUSED">"c7481"</definedName>
    <definedName name="IQ_BUDGET_RECEIPTS_FC_UNUSED_UNUSED_UNUSED">"c7701"</definedName>
    <definedName name="IQ_BUDGET_RECEIPTS_POP_FC_UNUSED_UNUSED_UNUSED">"c7921"</definedName>
    <definedName name="IQ_BUDGET_RECEIPTS_POP_UNUSED_UNUSED_UNUSED">"c7041"</definedName>
    <definedName name="IQ_BUDGET_RECEIPTS_UNUSED_UNUSED_UNUSED">"c6821"</definedName>
    <definedName name="IQ_BUDGET_RECEIPTS_YOY_FC_UNUSED_UNUSED_UNUSED">"c8141"</definedName>
    <definedName name="IQ_BUDGET_RECEIPTS_YOY_UNUSED_UNUSED_UNUSED">"c7261"</definedName>
    <definedName name="IQ_BUILDINGS">"c99"</definedName>
    <definedName name="IQ_BUS_SEG_ASSETS">"c4067"</definedName>
    <definedName name="IQ_BUS_SEG_ASSETS_ABS">"c4089"</definedName>
    <definedName name="IQ_BUS_SEG_ASSETS_TOTAL">"c4112"</definedName>
    <definedName name="IQ_BUS_SEG_CAPEX">"c4079"</definedName>
    <definedName name="IQ_BUS_SEG_CAPEX_ABS">"c4101"</definedName>
    <definedName name="IQ_BUS_SEG_CAPEX_TOTAL">"c4116"</definedName>
    <definedName name="IQ_BUS_SEG_DA">"c4078"</definedName>
    <definedName name="IQ_BUS_SEG_DA_ABS">"c4100"</definedName>
    <definedName name="IQ_BUS_SEG_DA_TOTAL">"c4115"</definedName>
    <definedName name="IQ_BUS_SEG_EARNINGS_OP">"c4063"</definedName>
    <definedName name="IQ_BUS_SEG_EARNINGS_OP_ABS">"c4085"</definedName>
    <definedName name="IQ_BUS_SEG_EARNINGS_OP_TOTAL">"c4108"</definedName>
    <definedName name="IQ_BUS_SEG_EBT">"c4064"</definedName>
    <definedName name="IQ_BUS_SEG_EBT_ABS">"c4086"</definedName>
    <definedName name="IQ_BUS_SEG_EBT_TOTAL">"c4110"</definedName>
    <definedName name="IQ_BUS_SEG_GP">"c4066"</definedName>
    <definedName name="IQ_BUS_SEG_GP_ABS">"c4088"</definedName>
    <definedName name="IQ_BUS_SEG_GP_TOTAL">"c4109"</definedName>
    <definedName name="IQ_BUS_SEG_INC_TAX">"c4077"</definedName>
    <definedName name="IQ_BUS_SEG_INC_TAX_ABS">"c4099"</definedName>
    <definedName name="IQ_BUS_SEG_INC_TAX_TOTAL">"c4114"</definedName>
    <definedName name="IQ_BUS_SEG_INTEREST_EXP">"c4076"</definedName>
    <definedName name="IQ_BUS_SEG_INTEREST_EXP_ABS">"c4098"</definedName>
    <definedName name="IQ_BUS_SEG_INTEREST_EXP_TOTAL">"c4113"</definedName>
    <definedName name="IQ_BUS_SEG_NAME">"c5482"</definedName>
    <definedName name="IQ_BUS_SEG_NAME_ABS">"c5483"</definedName>
    <definedName name="IQ_BUS_SEG_NI">"c4065"</definedName>
    <definedName name="IQ_BUS_SEG_NI_ABS">"c4087"</definedName>
    <definedName name="IQ_BUS_SEG_NI_TOTAL">"c4111"</definedName>
    <definedName name="IQ_BUS_SEG_OPER_INC">"c4062"</definedName>
    <definedName name="IQ_BUS_SEG_OPER_INC_ABS">"c4084"</definedName>
    <definedName name="IQ_BUS_SEG_OPER_INC_TOTAL">"c4107"</definedName>
    <definedName name="IQ_BUS_SEG_REV">"c4068"</definedName>
    <definedName name="IQ_BUS_SEG_REV_ABS">"c4090"</definedName>
    <definedName name="IQ_BUS_SEG_REV_TOTAL">"c4106"</definedName>
    <definedName name="IQ_BUSINESS_DESCRIPTION">"c322"</definedName>
    <definedName name="IQ_BV_EST">"c5624"</definedName>
    <definedName name="IQ_BV_HIGH_EST">"c5626"</definedName>
    <definedName name="IQ_BV_LOW_EST">"c5627"</definedName>
    <definedName name="IQ_BV_MEDIAN_EST">"c5625"</definedName>
    <definedName name="IQ_BV_NUM_EST">"c5628"</definedName>
    <definedName name="IQ_BV_OVER_SHARES">"c1349"</definedName>
    <definedName name="IQ_BV_SHARE">"c100"</definedName>
    <definedName name="IQ_BV_SHARE_ACT_OR_EST">"c3587"</definedName>
    <definedName name="IQ_BV_SHARE_ACT_OR_EST_REUT">"c5477"</definedName>
    <definedName name="IQ_BV_SHARE_EST">"c3541"</definedName>
    <definedName name="IQ_BV_SHARE_EST_REUT">"c5439"</definedName>
    <definedName name="IQ_BV_SHARE_HIGH_EST">"c3542"</definedName>
    <definedName name="IQ_BV_SHARE_HIGH_EST_REUT">"c5441"</definedName>
    <definedName name="IQ_BV_SHARE_LOW_EST">"c3543"</definedName>
    <definedName name="IQ_BV_SHARE_LOW_EST_REUT">"c5442"</definedName>
    <definedName name="IQ_BV_SHARE_MEDIAN_EST">"c3544"</definedName>
    <definedName name="IQ_BV_SHARE_MEDIAN_EST_REUT">"c5440"</definedName>
    <definedName name="IQ_BV_SHARE_NUM_EST">"c3539"</definedName>
    <definedName name="IQ_BV_SHARE_NUM_EST_REUT">"c5443"</definedName>
    <definedName name="IQ_BV_SHARE_STDDEV_EST">"c3540"</definedName>
    <definedName name="IQ_BV_SHARE_STDDEV_EST_REUT">"c5444"</definedName>
    <definedName name="IQ_BV_STDDEV_EST">"c5629"</definedName>
    <definedName name="IQ_CABLE_ARPU">"c2869"</definedName>
    <definedName name="IQ_CABLE_ARPU_ANALOG">"c2864"</definedName>
    <definedName name="IQ_CABLE_ARPU_BASIC">"c2866"</definedName>
    <definedName name="IQ_CABLE_ARPU_BBAND">"c2867"</definedName>
    <definedName name="IQ_CABLE_ARPU_DIG">"c2865"</definedName>
    <definedName name="IQ_CABLE_ARPU_PHONE">"c2868"</definedName>
    <definedName name="IQ_CABLE_BASIC_PENETRATION">"c2850"</definedName>
    <definedName name="IQ_CABLE_BBAND_PENETRATION">"c2852"</definedName>
    <definedName name="IQ_CABLE_BBAND_PENETRATION_THP">"c2851"</definedName>
    <definedName name="IQ_CABLE_CHURN">"c2874"</definedName>
    <definedName name="IQ_CABLE_CHURN_BASIC">"c2871"</definedName>
    <definedName name="IQ_CABLE_CHURN_BBAND">"c2872"</definedName>
    <definedName name="IQ_CABLE_CHURN_DIG">"c2870"</definedName>
    <definedName name="IQ_CABLE_CHURN_PHONE">"c2873"</definedName>
    <definedName name="IQ_CABLE_HOMES_PER_MILE">"c2849"</definedName>
    <definedName name="IQ_CABLE_HP_BBAND">"c2845"</definedName>
    <definedName name="IQ_CABLE_HP_DIG">"c2844"</definedName>
    <definedName name="IQ_CABLE_HP_PHONE">"c2846"</definedName>
    <definedName name="IQ_CABLE_MILES_PASSED">"c2848"</definedName>
    <definedName name="IQ_CABLE_OTHER_REV">"c2882"</definedName>
    <definedName name="IQ_CABLE_PHONE_PENETRATION">"c2853"</definedName>
    <definedName name="IQ_CABLE_PROGRAMMING_COSTS">"c2884"</definedName>
    <definedName name="IQ_CABLE_REV_ADVERT">"c2880"</definedName>
    <definedName name="IQ_CABLE_REV_ANALOG">"c2875"</definedName>
    <definedName name="IQ_CABLE_REV_BASIC">"c2877"</definedName>
    <definedName name="IQ_CABLE_REV_BBAND">"c2878"</definedName>
    <definedName name="IQ_CABLE_REV_COMMERCIAL">"c2881"</definedName>
    <definedName name="IQ_CABLE_REV_DIG">"c2876"</definedName>
    <definedName name="IQ_CABLE_REV_PHONE">"c2879"</definedName>
    <definedName name="IQ_CABLE_RGU">"c2863"</definedName>
    <definedName name="IQ_CABLE_SUBS_ANALOG">"c2855"</definedName>
    <definedName name="IQ_CABLE_SUBS_BASIC">"c2857"</definedName>
    <definedName name="IQ_CABLE_SUBS_BBAND">"c2858"</definedName>
    <definedName name="IQ_CABLE_SUBS_BUNDLED">"c2861"</definedName>
    <definedName name="IQ_CABLE_SUBS_DIG">"c2856"</definedName>
    <definedName name="IQ_CABLE_SUBS_NON_VIDEO">"c2860"</definedName>
    <definedName name="IQ_CABLE_SUBS_PHONE">"c2859"</definedName>
    <definedName name="IQ_CABLE_SUBS_TOTAL">"c2862"</definedName>
    <definedName name="IQ_CABLE_THP">"c2847"</definedName>
    <definedName name="IQ_CABLE_TOTAL_PENETRATION">"c2854"</definedName>
    <definedName name="IQ_CABLE_TOTAL_REV">"c2883"</definedName>
    <definedName name="IQ_CAL_Q">"c101"</definedName>
    <definedName name="IQ_CAL_Y">"c102"</definedName>
    <definedName name="IQ_CALC_TYPE_BS">"c3086"</definedName>
    <definedName name="IQ_CALC_TYPE_CF">"c3085"</definedName>
    <definedName name="IQ_CALC_TYPE_IS">"c3084"</definedName>
    <definedName name="IQ_CALL_DATE_SCHEDULE">"c2481"</definedName>
    <definedName name="IQ_CALL_FEATURE">"c2197"</definedName>
    <definedName name="IQ_CALL_PRICE_SCHEDULE">"c2482"</definedName>
    <definedName name="IQ_CALLABLE">"c2196"</definedName>
    <definedName name="IQ_CAP_LOSS_CF_1YR">"c3474"</definedName>
    <definedName name="IQ_CAP_LOSS_CF_2YR">"c3475"</definedName>
    <definedName name="IQ_CAP_LOSS_CF_3YR">"c3476"</definedName>
    <definedName name="IQ_CAP_LOSS_CF_4YR">"c3477"</definedName>
    <definedName name="IQ_CAP_LOSS_CF_5YR">"c3478"</definedName>
    <definedName name="IQ_CAP_LOSS_CF_AFTER_FIVE">"c3479"</definedName>
    <definedName name="IQ_CAP_LOSS_CF_MAX_YEAR">"c3482"</definedName>
    <definedName name="IQ_CAP_LOSS_CF_NO_EXP">"c3480"</definedName>
    <definedName name="IQ_CAP_LOSS_CF_TOTAL">"c3481"</definedName>
    <definedName name="IQ_CAPEX">"c103"</definedName>
    <definedName name="IQ_CAPEX_10YR_ANN_GROWTH">"c104"</definedName>
    <definedName name="IQ_CAPEX_1YR_ANN_GROWTH">"c105"</definedName>
    <definedName name="IQ_CAPEX_2YR_ANN_GROWTH">"c106"</definedName>
    <definedName name="IQ_CAPEX_3YR_ANN_GROWTH">"c107"</definedName>
    <definedName name="IQ_CAPEX_5YR_ANN_GROWTH">"c108"</definedName>
    <definedName name="IQ_CAPEX_7YR_ANN_GROWTH">"c109"</definedName>
    <definedName name="IQ_CAPEX_ACT_OR_EST">"c3584"</definedName>
    <definedName name="IQ_CAPEX_ACT_OR_EST_REUT">"c5474"</definedName>
    <definedName name="IQ_CAPEX_BNK">"c110"</definedName>
    <definedName name="IQ_CAPEX_BR">"c111"</definedName>
    <definedName name="IQ_CAPEX_EST">"c3523"</definedName>
    <definedName name="IQ_CAPEX_EST_REUT">"c3969"</definedName>
    <definedName name="IQ_CAPEX_FIN">"c112"</definedName>
    <definedName name="IQ_CAPEX_GUIDANCE">"c4150"</definedName>
    <definedName name="IQ_CAPEX_HIGH_EST">"c3524"</definedName>
    <definedName name="IQ_CAPEX_HIGH_EST_REUT">"c3971"</definedName>
    <definedName name="IQ_CAPEX_HIGH_GUIDANCE">"c4180"</definedName>
    <definedName name="IQ_CAPEX_INS">"c113"</definedName>
    <definedName name="IQ_CAPEX_LOW_EST">"c3525"</definedName>
    <definedName name="IQ_CAPEX_LOW_EST_REUT">"c3972"</definedName>
    <definedName name="IQ_CAPEX_LOW_GUIDANCE">"c4220"</definedName>
    <definedName name="IQ_CAPEX_MEDIAN_EST">"c3526"</definedName>
    <definedName name="IQ_CAPEX_MEDIAN_EST_REUT">"c3970"</definedName>
    <definedName name="IQ_CAPEX_NUM_EST">"c3521"</definedName>
    <definedName name="IQ_CAPEX_NUM_EST_REUT">"c3973"</definedName>
    <definedName name="IQ_CAPEX_STDDEV_EST">"c3522"</definedName>
    <definedName name="IQ_CAPEX_STDDEV_EST_REUT">"c3974"</definedName>
    <definedName name="IQ_CAPEX_UTI">"c114"</definedName>
    <definedName name="IQ_CAPITAL_LEASE">"c1350"</definedName>
    <definedName name="IQ_CAPITAL_LEASES">"c115"</definedName>
    <definedName name="IQ_CAPITAL_LEASES_TOTAL">"c3031"</definedName>
    <definedName name="IQ_CAPITAL_LEASES_TOTAL_PCT">"c2506"</definedName>
    <definedName name="IQ_CAPITALIZED_INTEREST">"c2076"</definedName>
    <definedName name="IQ_CAPITALIZED_INTEREST_BOP">"c3459"</definedName>
    <definedName name="IQ_CAPITALIZED_INTEREST_EOP">"c3464"</definedName>
    <definedName name="IQ_CAPITALIZED_INTEREST_EXP">"c3461"</definedName>
    <definedName name="IQ_CAPITALIZED_INTEREST_OTHER_ADJ">"c3463"</definedName>
    <definedName name="IQ_CAPITALIZED_INTEREST_WRITE_OFF">"c3462"</definedName>
    <definedName name="IQ_CASH">"c1458"</definedName>
    <definedName name="IQ_CASH_ACQUIRE_CF">"c116"</definedName>
    <definedName name="IQ_CASH_CONVERSION">"c117"</definedName>
    <definedName name="IQ_CASH_DUE_BANKS">"c1351"</definedName>
    <definedName name="IQ_CASH_EPS_ACT_OR_EST">"c5638"</definedName>
    <definedName name="IQ_CASH_EPS_EST">"c5631"</definedName>
    <definedName name="IQ_CASH_EPS_HIGH_EST">"c5633"</definedName>
    <definedName name="IQ_CASH_EPS_LOW_EST">"c5634"</definedName>
    <definedName name="IQ_CASH_EPS_MEDIAN_EST">"c5632"</definedName>
    <definedName name="IQ_CASH_EPS_NUM_EST">"c5635"</definedName>
    <definedName name="IQ_CASH_EPS_STDDEV_EST">"c5636"</definedName>
    <definedName name="IQ_CASH_EQUIV">"c118"</definedName>
    <definedName name="IQ_CASH_FINAN">"c119"</definedName>
    <definedName name="IQ_CASH_FLOW_ACT_OR_EST">"c4154"</definedName>
    <definedName name="IQ_CASH_FLOW_EST">"c4153"</definedName>
    <definedName name="IQ_CASH_FLOW_GUIDANCE">"c4155"</definedName>
    <definedName name="IQ_CASH_FLOW_HIGH_EST">"c4156"</definedName>
    <definedName name="IQ_CASH_FLOW_HIGH_GUIDANCE">"c4201"</definedName>
    <definedName name="IQ_CASH_FLOW_LOW_EST">"c4157"</definedName>
    <definedName name="IQ_CASH_FLOW_LOW_GUIDANCE">"c4241"</definedName>
    <definedName name="IQ_CASH_FLOW_MEDIAN_EST">"c4158"</definedName>
    <definedName name="IQ_CASH_FLOW_NUM_EST">"c4159"</definedName>
    <definedName name="IQ_CASH_FLOW_STDDEV_EST">"c4160"</definedName>
    <definedName name="IQ_CASH_INTEREST">"c120"</definedName>
    <definedName name="IQ_CASH_INVEST">"c121"</definedName>
    <definedName name="IQ_CASH_OPER">"c122"</definedName>
    <definedName name="IQ_CASH_OPER_ACT_OR_EST">"c4164"</definedName>
    <definedName name="IQ_CASH_OPER_EST">"c4163"</definedName>
    <definedName name="IQ_CASH_OPER_GUIDANCE">"c4165"</definedName>
    <definedName name="IQ_CASH_OPER_HIGH_EST">"c4166"</definedName>
    <definedName name="IQ_CASH_OPER_HIGH_GUIDANCE">"c4185"</definedName>
    <definedName name="IQ_CASH_OPER_LOW_EST">"c4244"</definedName>
    <definedName name="IQ_CASH_OPER_LOW_GUIDANCE">"c4225"</definedName>
    <definedName name="IQ_CASH_OPER_MEDIAN_EST">"c4245"</definedName>
    <definedName name="IQ_CASH_OPER_NUM_EST">"c4246"</definedName>
    <definedName name="IQ_CASH_OPER_STDDEV_EST">"c4247"</definedName>
    <definedName name="IQ_CASH_SEGREG">"c123"</definedName>
    <definedName name="IQ_CASH_SHARE">"c1911"</definedName>
    <definedName name="IQ_CASH_ST">"c1355"</definedName>
    <definedName name="IQ_CASH_ST_INVEST">"c124"</definedName>
    <definedName name="IQ_CASH_ST_INVEST_EST">"c4249"</definedName>
    <definedName name="IQ_CASH_ST_INVEST_GUIDANCE">"c4250"</definedName>
    <definedName name="IQ_CASH_ST_INVEST_HIGH_EST">"c4251"</definedName>
    <definedName name="IQ_CASH_ST_INVEST_HIGH_GUIDANCE">"c4195"</definedName>
    <definedName name="IQ_CASH_ST_INVEST_LOW_EST">"c4252"</definedName>
    <definedName name="IQ_CASH_ST_INVEST_LOW_GUIDANCE">"c4235"</definedName>
    <definedName name="IQ_CASH_ST_INVEST_MEDIAN_EST">"c4253"</definedName>
    <definedName name="IQ_CASH_ST_INVEST_NUM_EST">"c4254"</definedName>
    <definedName name="IQ_CASH_ST_INVEST_STDDEV_EST">"c4255"</definedName>
    <definedName name="IQ_CASH_TAXES">"c125"</definedName>
    <definedName name="IQ_CEDED_AH_EARNED">"c2743"</definedName>
    <definedName name="IQ_CEDED_CLAIM_EXP_INCUR">"c2756"</definedName>
    <definedName name="IQ_CEDED_CLAIM_EXP_PAID">"c2759"</definedName>
    <definedName name="IQ_CEDED_CLAIM_EXP_RES">"c2753"</definedName>
    <definedName name="IQ_CEDED_EARNED">"c2733"</definedName>
    <definedName name="IQ_CEDED_LIFE_EARNED">"c2738"</definedName>
    <definedName name="IQ_CEDED_LIFE_IN_FORCE">"c2768"</definedName>
    <definedName name="IQ_CEDED_PC_EARNED">"c2748"</definedName>
    <definedName name="IQ_CEDED_WRITTEN">"c2727"</definedName>
    <definedName name="IQ_CFO_10YR_ANN_GROWTH">"c126"</definedName>
    <definedName name="IQ_CFO_1YR_ANN_GROWTH">"c127"</definedName>
    <definedName name="IQ_CFO_2YR_ANN_GROWTH">"c128"</definedName>
    <definedName name="IQ_CFO_3YR_ANN_GROWTH">"c129"</definedName>
    <definedName name="IQ_CFO_5YR_ANN_GROWTH">"c130"</definedName>
    <definedName name="IQ_CFO_7YR_ANN_GROWTH">"c131"</definedName>
    <definedName name="IQ_CFO_CURRENT_LIAB">"c132"</definedName>
    <definedName name="IQ_CFPS_ACT_OR_EST">"c2217"</definedName>
    <definedName name="IQ_CFPS_ACT_OR_EST_REUT">"c5463"</definedName>
    <definedName name="IQ_CFPS_EST">"c1667"</definedName>
    <definedName name="IQ_CFPS_EST_REUT">"c3844"</definedName>
    <definedName name="IQ_CFPS_GUIDANCE">"c4256"</definedName>
    <definedName name="IQ_CFPS_HIGH_EST">"c1669"</definedName>
    <definedName name="IQ_CFPS_HIGH_EST_REUT">"c3846"</definedName>
    <definedName name="IQ_CFPS_HIGH_GUIDANCE">"c4167"</definedName>
    <definedName name="IQ_CFPS_LOW_EST">"c1670"</definedName>
    <definedName name="IQ_CFPS_LOW_EST_REUT">"c3847"</definedName>
    <definedName name="IQ_CFPS_LOW_GUIDANCE">"c4207"</definedName>
    <definedName name="IQ_CFPS_MEDIAN_EST">"c1668"</definedName>
    <definedName name="IQ_CFPS_MEDIAN_EST_REUT">"c3845"</definedName>
    <definedName name="IQ_CFPS_NUM_EST">"c1671"</definedName>
    <definedName name="IQ_CFPS_NUM_EST_REUT">"c3848"</definedName>
    <definedName name="IQ_CFPS_STDDEV_EST">"c1672"</definedName>
    <definedName name="IQ_CFPS_STDDEV_EST_REUT">"c3849"</definedName>
    <definedName name="IQ_CH">110000</definedName>
    <definedName name="IQ_CHANGE_AP">"c133"</definedName>
    <definedName name="IQ_CHANGE_AP_BNK">"c134"</definedName>
    <definedName name="IQ_CHANGE_AP_BR">"c135"</definedName>
    <definedName name="IQ_CHANGE_AP_FIN">"c136"</definedName>
    <definedName name="IQ_CHANGE_AP_INS">"c137"</definedName>
    <definedName name="IQ_CHANGE_AP_REIT">"c138"</definedName>
    <definedName name="IQ_CHANGE_AP_UTI">"c139"</definedName>
    <definedName name="IQ_CHANGE_AR">"c140"</definedName>
    <definedName name="IQ_CHANGE_AR_BNK">"c141"</definedName>
    <definedName name="IQ_CHANGE_AR_BR">"c142"</definedName>
    <definedName name="IQ_CHANGE_AR_FIN">"c143"</definedName>
    <definedName name="IQ_CHANGE_AR_INS">"c144"</definedName>
    <definedName name="IQ_CHANGE_AR_REIT">"c145"</definedName>
    <definedName name="IQ_CHANGE_AR_UTI">"c146"</definedName>
    <definedName name="IQ_CHANGE_DEF_TAX">"c147"</definedName>
    <definedName name="IQ_CHANGE_DEPOSIT_ACCT">"c148"</definedName>
    <definedName name="IQ_CHANGE_INC_TAX">"c149"</definedName>
    <definedName name="IQ_CHANGE_INS_RES_LIAB">"c150"</definedName>
    <definedName name="IQ_CHANGE_INVENT_REAL_APR_FC_UNUSED_UNUSED_UNUSED">"c8500"</definedName>
    <definedName name="IQ_CHANGE_INVENT_REAL_APR_UNUSED_UNUSED_UNUSED">"c7620"</definedName>
    <definedName name="IQ_CHANGE_INVENT_REAL_FC_UNUSED_UNUSED_UNUSED">"c7840"</definedName>
    <definedName name="IQ_CHANGE_INVENT_REAL_POP_FC_UNUSED_UNUSED_UNUSED">"c8060"</definedName>
    <definedName name="IQ_CHANGE_INVENT_REAL_POP_UNUSED_UNUSED_UNUSED">"c7180"</definedName>
    <definedName name="IQ_CHANGE_INVENT_REAL_UNUSED_UNUSED_UNUSED">"c6960"</definedName>
    <definedName name="IQ_CHANGE_INVENT_REAL_YOY_FC_UNUSED_UNUSED_UNUSED">"c8280"</definedName>
    <definedName name="IQ_CHANGE_INVENT_REAL_YOY_UNUSED_UNUSED_UNUSED">"c7400"</definedName>
    <definedName name="IQ_CHANGE_INVENTORY">"c151"</definedName>
    <definedName name="IQ_CHANGE_NET_OPER_ASSETS">"c3592"</definedName>
    <definedName name="IQ_CHANGE_NET_WORKING_CAPITAL">"c1909"</definedName>
    <definedName name="IQ_CHANGE_OTHER_NET_OPER_ASSETS">"c3593"</definedName>
    <definedName name="IQ_CHANGE_OTHER_NET_OPER_ASSETS_BNK">"c3594"</definedName>
    <definedName name="IQ_CHANGE_OTHER_NET_OPER_ASSETS_BR">"c3595"</definedName>
    <definedName name="IQ_CHANGE_OTHER_NET_OPER_ASSETS_FIN">"c3596"</definedName>
    <definedName name="IQ_CHANGE_OTHER_NET_OPER_ASSETS_INS">"c3597"</definedName>
    <definedName name="IQ_CHANGE_OTHER_NET_OPER_ASSETS_REIT">"c3598"</definedName>
    <definedName name="IQ_CHANGE_OTHER_NET_OPER_ASSETS_UTI">"c3599"</definedName>
    <definedName name="IQ_CHANGE_OTHER_WORK_CAP">"c152"</definedName>
    <definedName name="IQ_CHANGE_OTHER_WORK_CAP_BNK">"c153"</definedName>
    <definedName name="IQ_CHANGE_OTHER_WORK_CAP_BR">"c154"</definedName>
    <definedName name="IQ_CHANGE_OTHER_WORK_CAP_FIN">"c155"</definedName>
    <definedName name="IQ_CHANGE_OTHER_WORK_CAP_INS">"c156"</definedName>
    <definedName name="IQ_CHANGE_OTHER_WORK_CAP_REIT">"c157"</definedName>
    <definedName name="IQ_CHANGE_OTHER_WORK_CAP_UTI">"c158"</definedName>
    <definedName name="IQ_CHANGE_TRADING_ASSETS">"c159"</definedName>
    <definedName name="IQ_CHANGE_UNEARN_REV">"c160"</definedName>
    <definedName name="IQ_CHANGE_WORK_CAP">"c161"</definedName>
    <definedName name="IQ_CHANGES_WORK_CAP">"c1357"</definedName>
    <definedName name="IQ_CHARGE_OFFS_GROSS">"c162"</definedName>
    <definedName name="IQ_CHARGE_OFFS_NET">"c163"</definedName>
    <definedName name="IQ_CHARGE_OFFS_RECOVERED">"c164"</definedName>
    <definedName name="IQ_CHARGE_OFFS_TOTAL_AVG_LOANS">"c165"</definedName>
    <definedName name="IQ_CITY">"c166"</definedName>
    <definedName name="IQ_CL_DUE_AFTER_FIVE">"c167"</definedName>
    <definedName name="IQ_CL_DUE_CY">"c168"</definedName>
    <definedName name="IQ_CL_DUE_CY1">"c169"</definedName>
    <definedName name="IQ_CL_DUE_CY2">"c170"</definedName>
    <definedName name="IQ_CL_DUE_CY3">"c171"</definedName>
    <definedName name="IQ_CL_DUE_CY4">"c172"</definedName>
    <definedName name="IQ_CL_DUE_NEXT_FIVE">"c173"</definedName>
    <definedName name="IQ_CL_OBLIGATION_IMMEDIATE">"c2253"</definedName>
    <definedName name="IQ_CLASSA_OPTIONS_BEG_OS">"c2679"</definedName>
    <definedName name="IQ_CLASSA_OPTIONS_CANCELLED">"c2682"</definedName>
    <definedName name="IQ_CLASSA_OPTIONS_END_OS">"c2683"</definedName>
    <definedName name="IQ_CLASSA_OPTIONS_EXERCISED">"c2681"</definedName>
    <definedName name="IQ_CLASSA_OPTIONS_GRANTED">"c2680"</definedName>
    <definedName name="IQ_CLASSA_OPTIONS_STRIKE_PRICE_OS">"c2684"</definedName>
    <definedName name="IQ_CLASSA_OUTSTANDING_BS_DATE">"c1971"</definedName>
    <definedName name="IQ_CLASSA_OUTSTANDING_FILING_DATE">"c1973"</definedName>
    <definedName name="IQ_CLASSA_STRIKE_PRICE_GRANTED">"c2685"</definedName>
    <definedName name="IQ_CLASSA_WARRANTS_BEG_OS">"c2705"</definedName>
    <definedName name="IQ_CLASSA_WARRANTS_CANCELLED">"c2708"</definedName>
    <definedName name="IQ_CLASSA_WARRANTS_END_OS">"c2709"</definedName>
    <definedName name="IQ_CLASSA_WARRANTS_EXERCISED">"c2707"</definedName>
    <definedName name="IQ_CLASSA_WARRANTS_ISSUED">"c2706"</definedName>
    <definedName name="IQ_CLASSA_WARRANTS_STRIKE_PRICE_ISSUED">"c2711"</definedName>
    <definedName name="IQ_CLASSA_WARRANTS_STRIKE_PRICE_OS">"c2710"</definedName>
    <definedName name="IQ_CLOSEPRICE">"c174"</definedName>
    <definedName name="IQ_CLOSEPRICE_ADJ">"c2115"</definedName>
    <definedName name="IQ_COGS">"c175"</definedName>
    <definedName name="IQ_COMBINED_RATIO">"c176"</definedName>
    <definedName name="IQ_COMMERCIAL_DOM">"c177"</definedName>
    <definedName name="IQ_COMMERCIAL_FIRE_WRITTEN">"c178"</definedName>
    <definedName name="IQ_COMMERCIAL_MORT">"c179"</definedName>
    <definedName name="IQ_COMMISS_FEES">"c180"</definedName>
    <definedName name="IQ_COMMISSION_DEF">"c181"</definedName>
    <definedName name="IQ_COMMON">"c182"</definedName>
    <definedName name="IQ_COMMON_APIC">"c183"</definedName>
    <definedName name="IQ_COMMON_APIC_BNK">"c184"</definedName>
    <definedName name="IQ_COMMON_APIC_BR">"c185"</definedName>
    <definedName name="IQ_COMMON_APIC_FIN">"c186"</definedName>
    <definedName name="IQ_COMMON_APIC_INS">"c187"</definedName>
    <definedName name="IQ_COMMON_APIC_REIT">"c188"</definedName>
    <definedName name="IQ_COMMON_APIC_UTI">"c189"</definedName>
    <definedName name="IQ_COMMON_DIV">"c3006"</definedName>
    <definedName name="IQ_COMMON_DIV_CF">"c190"</definedName>
    <definedName name="IQ_COMMON_EQUITY_10YR_ANN_GROWTH">"c191"</definedName>
    <definedName name="IQ_COMMON_EQUITY_1YR_ANN_GROWTH">"c192"</definedName>
    <definedName name="IQ_COMMON_EQUITY_2YR_ANN_GROWTH">"c193"</definedName>
    <definedName name="IQ_COMMON_EQUITY_3YR_ANN_GROWTH">"c194"</definedName>
    <definedName name="IQ_COMMON_EQUITY_5YR_ANN_GROWTH">"c195"</definedName>
    <definedName name="IQ_COMMON_EQUITY_7YR_ANN_GROWTH">"c196"</definedName>
    <definedName name="IQ_COMMON_ISSUED">"c197"</definedName>
    <definedName name="IQ_COMMON_ISSUED_BNK">"c198"</definedName>
    <definedName name="IQ_COMMON_ISSUED_BR">"c199"</definedName>
    <definedName name="IQ_COMMON_ISSUED_FIN">"c200"</definedName>
    <definedName name="IQ_COMMON_ISSUED_INS">"c201"</definedName>
    <definedName name="IQ_COMMON_ISSUED_REIT">"c202"</definedName>
    <definedName name="IQ_COMMON_ISSUED_UTI">"c203"</definedName>
    <definedName name="IQ_COMMON_PER_ADR">"c204"</definedName>
    <definedName name="IQ_COMMON_PREF_DIV_CF">"c205"</definedName>
    <definedName name="IQ_COMMON_REP">"c206"</definedName>
    <definedName name="IQ_COMMON_REP_BNK">"c207"</definedName>
    <definedName name="IQ_COMMON_REP_BR">"c208"</definedName>
    <definedName name="IQ_COMMON_REP_FIN">"c209"</definedName>
    <definedName name="IQ_COMMON_REP_INS">"c210"</definedName>
    <definedName name="IQ_COMMON_REP_REIT">"c211"</definedName>
    <definedName name="IQ_COMMON_REP_UTI">"c212"</definedName>
    <definedName name="IQ_COMMON_STOCK">"c1358"</definedName>
    <definedName name="IQ_COMP_BENEFITS">"c213"</definedName>
    <definedName name="IQ_COMPANY_ADDRESS">"c214"</definedName>
    <definedName name="IQ_COMPANY_ID">"c3513"</definedName>
    <definedName name="IQ_COMPANY_NAME">"c215"</definedName>
    <definedName name="IQ_COMPANY_NAME_LONG">"c1585"</definedName>
    <definedName name="IQ_COMPANY_PHONE">"c216"</definedName>
    <definedName name="IQ_COMPANY_STATUS">"c2097"</definedName>
    <definedName name="IQ_COMPANY_STREET1">"c217"</definedName>
    <definedName name="IQ_COMPANY_STREET2">"c218"</definedName>
    <definedName name="IQ_COMPANY_TICKER">"c219"</definedName>
    <definedName name="IQ_COMPANY_TYPE">"c2096"</definedName>
    <definedName name="IQ_COMPANY_WEBSITE">"c220"</definedName>
    <definedName name="IQ_COMPANY_ZIP">"c221"</definedName>
    <definedName name="IQ_CONSTRUCTION_LOANS">"c222"</definedName>
    <definedName name="IQ_CONSUMER_LOANS">"c223"</definedName>
    <definedName name="IQ_CONTRACTS_OTHER_COMMODITIES_EQUITIES._FDIC">"c6522"</definedName>
    <definedName name="IQ_CONV_DATE">"c2191"</definedName>
    <definedName name="IQ_CONV_EXP_DATE">"c3043"</definedName>
    <definedName name="IQ_CONV_PREMIUM">"c2195"</definedName>
    <definedName name="IQ_CONV_PRICE">"c2193"</definedName>
    <definedName name="IQ_CONV_RATE">"c2192"</definedName>
    <definedName name="IQ_CONV_RATIO">"c2192"</definedName>
    <definedName name="IQ_CONV_SECURITY">"c2189"</definedName>
    <definedName name="IQ_CONV_SECURITY_ISSUER">"c2190"</definedName>
    <definedName name="IQ_CONV_SECURITY_PRICE">"c2194"</definedName>
    <definedName name="IQ_CONVERT">"c2536"</definedName>
    <definedName name="IQ_CONVERT_PCT">"c2537"</definedName>
    <definedName name="IQ_CONVEXITY">"c2182"</definedName>
    <definedName name="IQ_CORP_GOODS_PRICE_INDEX_APR_FC_UNUSED_UNUSED_UNUSED">"c8381"</definedName>
    <definedName name="IQ_CORP_GOODS_PRICE_INDEX_APR_UNUSED_UNUSED_UNUSED">"c7501"</definedName>
    <definedName name="IQ_CORP_GOODS_PRICE_INDEX_FC_UNUSED_UNUSED_UNUSED">"c7721"</definedName>
    <definedName name="IQ_CORP_GOODS_PRICE_INDEX_POP_FC_UNUSED_UNUSED_UNUSED">"c7941"</definedName>
    <definedName name="IQ_CORP_GOODS_PRICE_INDEX_POP_UNUSED_UNUSED_UNUSED">"c7061"</definedName>
    <definedName name="IQ_CORP_GOODS_PRICE_INDEX_UNUSED_UNUSED_UNUSED">"c6841"</definedName>
    <definedName name="IQ_CORP_GOODS_PRICE_INDEX_YOY_FC_UNUSED_UNUSED_UNUSED">"c8161"</definedName>
    <definedName name="IQ_CORP_GOODS_PRICE_INDEX_YOY_UNUSED_UNUSED_UNUSED">"c7281"</definedName>
    <definedName name="IQ_COST_BORROWING">"c2936"</definedName>
    <definedName name="IQ_COST_BORROWINGS">"c225"</definedName>
    <definedName name="IQ_COST_REV">"c226"</definedName>
    <definedName name="IQ_COST_REVENUE">"c1359"</definedName>
    <definedName name="IQ_COST_SAVINGS">"c227"</definedName>
    <definedName name="IQ_COST_SERVICE">"c228"</definedName>
    <definedName name="IQ_COST_TOTAL_BORROWINGS">"c229"</definedName>
    <definedName name="IQ_COUNTRY_NAME">"c230"</definedName>
    <definedName name="IQ_COVERED_POPS">"c2124"</definedName>
    <definedName name="IQ_CP">"c2495"</definedName>
    <definedName name="IQ_CP_PCT">"c2496"</definedName>
    <definedName name="IQ_CQ">5000</definedName>
    <definedName name="IQ_CREDIT_CARD_FEE_BNK">"c231"</definedName>
    <definedName name="IQ_CREDIT_CARD_FEE_FIN">"c1583"</definedName>
    <definedName name="IQ_CREDIT_LOSS_CF">"c232"</definedName>
    <definedName name="IQ_CUMULATIVE_SPLIT_FACTOR">"c2094"</definedName>
    <definedName name="IQ_CURR_ACCT_BALANCE_APR_FC_UNUSED_UNUSED_UNUSED">"c8387"</definedName>
    <definedName name="IQ_CURR_ACCT_BALANCE_APR_UNUSED_UNUSED_UNUSED">"c7507"</definedName>
    <definedName name="IQ_CURR_ACCT_BALANCE_FC_UNUSED_UNUSED_UNUSED">"c7727"</definedName>
    <definedName name="IQ_CURR_ACCT_BALANCE_POP_FC_UNUSED_UNUSED_UNUSED">"c7947"</definedName>
    <definedName name="IQ_CURR_ACCT_BALANCE_POP_UNUSED_UNUSED_UNUSED">"c7067"</definedName>
    <definedName name="IQ_CURR_ACCT_BALANCE_UNUSED_UNUSED_UNUSED">"c6847"</definedName>
    <definedName name="IQ_CURR_ACCT_BALANCE_YOY_FC_UNUSED_UNUSED_UNUSED">"c8167"</definedName>
    <definedName name="IQ_CURR_ACCT_BALANCE_YOY_UNUSED_UNUSED_UNUSED">"c7287"</definedName>
    <definedName name="IQ_CURR_DOMESTIC_TAXES">"c2074"</definedName>
    <definedName name="IQ_CURR_FOREIGN_TAXES">"c2075"</definedName>
    <definedName name="IQ_CURRENCY_FACTOR_BS">"c233"</definedName>
    <definedName name="IQ_CURRENCY_FACTOR_IS">"c234"</definedName>
    <definedName name="IQ_CURRENCY_GAIN">"c235"</definedName>
    <definedName name="IQ_CURRENCY_GAIN_BR">"c236"</definedName>
    <definedName name="IQ_CURRENCY_GAIN_FIN">"c237"</definedName>
    <definedName name="IQ_CURRENCY_GAIN_INS">"c238"</definedName>
    <definedName name="IQ_CURRENCY_GAIN_REIT">"c239"</definedName>
    <definedName name="IQ_CURRENCY_GAIN_UTI">"c240"</definedName>
    <definedName name="IQ_CURRENT_PORT">"c241"</definedName>
    <definedName name="IQ_CURRENT_PORT_BNK">"c242"</definedName>
    <definedName name="IQ_CURRENT_PORT_DEBT">"c243"</definedName>
    <definedName name="IQ_CURRENT_PORT_DEBT_BNK">"c244"</definedName>
    <definedName name="IQ_CURRENT_PORT_DEBT_BR">"c1567"</definedName>
    <definedName name="IQ_CURRENT_PORT_DEBT_FIN">"c1568"</definedName>
    <definedName name="IQ_CURRENT_PORT_DEBT_INS">"c1569"</definedName>
    <definedName name="IQ_CURRENT_PORT_DEBT_REIT">"c1570"</definedName>
    <definedName name="IQ_CURRENT_PORT_DEBT_UTI">"c1571"</definedName>
    <definedName name="IQ_CURRENT_PORT_FHLB_DEBT">"c5657"</definedName>
    <definedName name="IQ_CURRENT_PORT_LEASES">"c245"</definedName>
    <definedName name="IQ_CURRENT_PORT_PCT">"c2541"</definedName>
    <definedName name="IQ_CURRENT_RATIO">"c246"</definedName>
    <definedName name="IQ_CUSIP">"c2245"</definedName>
    <definedName name="IQ_CY">10000</definedName>
    <definedName name="IQ_DA">"c247"</definedName>
    <definedName name="IQ_DA_BR">"c248"</definedName>
    <definedName name="IQ_DA_CF">"c249"</definedName>
    <definedName name="IQ_DA_CF_BNK">"c250"</definedName>
    <definedName name="IQ_DA_CF_BR">"c251"</definedName>
    <definedName name="IQ_DA_CF_FIN">"c252"</definedName>
    <definedName name="IQ_DA_CF_INS">"c253"</definedName>
    <definedName name="IQ_DA_CF_REIT">"c254"</definedName>
    <definedName name="IQ_DA_CF_UTI">"c255"</definedName>
    <definedName name="IQ_DA_EBITDA">"c5528"</definedName>
    <definedName name="IQ_DA_FIN">"c256"</definedName>
    <definedName name="IQ_DA_INS">"c257"</definedName>
    <definedName name="IQ_DA_REIT">"c258"</definedName>
    <definedName name="IQ_DA_SUPPL">"c259"</definedName>
    <definedName name="IQ_DA_SUPPL_BR">"c260"</definedName>
    <definedName name="IQ_DA_SUPPL_CF">"c261"</definedName>
    <definedName name="IQ_DA_SUPPL_CF_BNK">"c262"</definedName>
    <definedName name="IQ_DA_SUPPL_CF_BR">"c263"</definedName>
    <definedName name="IQ_DA_SUPPL_CF_FIN">"c264"</definedName>
    <definedName name="IQ_DA_SUPPL_CF_INS">"c265"</definedName>
    <definedName name="IQ_DA_SUPPL_CF_REIT">"c266"</definedName>
    <definedName name="IQ_DA_SUPPL_CF_UTI">"c267"</definedName>
    <definedName name="IQ_DA_SUPPL_FIN">"c268"</definedName>
    <definedName name="IQ_DA_SUPPL_INS">"c269"</definedName>
    <definedName name="IQ_DA_SUPPL_REIT">"c270"</definedName>
    <definedName name="IQ_DA_SUPPL_UTI">"c271"</definedName>
    <definedName name="IQ_DA_UTI">"c272"</definedName>
    <definedName name="IQ_DAILY">500000</definedName>
    <definedName name="IQ_DATED_DATE">"c2185"</definedName>
    <definedName name="IQ_DAY_COUNT">"c2161"</definedName>
    <definedName name="IQ_DAYS_COVER_SHORT">"c1578"</definedName>
    <definedName name="IQ_DAYS_INVENTORY_OUT">"c273"</definedName>
    <definedName name="IQ_DAYS_PAY_OUTST">"c1362"</definedName>
    <definedName name="IQ_DAYS_PAYABLE_OUT">"c274"</definedName>
    <definedName name="IQ_DAYS_SALES_OUT">"c275"</definedName>
    <definedName name="IQ_DAYS_SALES_OUTST">"c1363"</definedName>
    <definedName name="IQ_DEBT_ADJ">"c2515"</definedName>
    <definedName name="IQ_DEBT_ADJ_PCT">"c2516"</definedName>
    <definedName name="IQ_DEBT_EQUITY_EST">"c4257"</definedName>
    <definedName name="IQ_DEBT_EQUITY_HIGH_EST">"c4258"</definedName>
    <definedName name="IQ_DEBT_EQUITY_LOW_EST">"c4259"</definedName>
    <definedName name="IQ_DEBT_EQUITY_MEDIAN_EST">"c4260"</definedName>
    <definedName name="IQ_DEBT_EQUITY_NUM_EST">"c4261"</definedName>
    <definedName name="IQ_DEBT_EQUITY_STDDEV_EST">"c4262"</definedName>
    <definedName name="IQ_DEBT_EQUIV_NET_PBO">"c2938"</definedName>
    <definedName name="IQ_DEBT_EQUIV_OPER_LEASE">"c2935"</definedName>
    <definedName name="IQ_DEF_ACQ_CST">"c1364"</definedName>
    <definedName name="IQ_DEF_AMORT">"c276"</definedName>
    <definedName name="IQ_DEF_AMORT_BNK">"c277"</definedName>
    <definedName name="IQ_DEF_AMORT_BR">"c278"</definedName>
    <definedName name="IQ_DEF_AMORT_FIN">"c279"</definedName>
    <definedName name="IQ_DEF_AMORT_INS">"c280"</definedName>
    <definedName name="IQ_DEF_AMORT_REIT">"c281"</definedName>
    <definedName name="IQ_DEF_AMORT_UTI">"c282"</definedName>
    <definedName name="IQ_DEF_BENEFIT_INTEREST_COST">"c283"</definedName>
    <definedName name="IQ_DEF_BENEFIT_INTEREST_COST_DOMESTIC">"c2652"</definedName>
    <definedName name="IQ_DEF_BENEFIT_INTEREST_COST_FOREIGN">"c2660"</definedName>
    <definedName name="IQ_DEF_BENEFIT_OTHER_COST">"c284"</definedName>
    <definedName name="IQ_DEF_BENEFIT_OTHER_COST_DOMESTIC">"c2654"</definedName>
    <definedName name="IQ_DEF_BENEFIT_OTHER_COST_FOREIGN">"c2662"</definedName>
    <definedName name="IQ_DEF_BENEFIT_ROA">"c285"</definedName>
    <definedName name="IQ_DEF_BENEFIT_ROA_DOMESTIC">"c2653"</definedName>
    <definedName name="IQ_DEF_BENEFIT_ROA_FOREIGN">"c2661"</definedName>
    <definedName name="IQ_DEF_BENEFIT_SERVICE_COST">"c286"</definedName>
    <definedName name="IQ_DEF_BENEFIT_SERVICE_COST_DOMESTIC">"c2651"</definedName>
    <definedName name="IQ_DEF_BENEFIT_SERVICE_COST_FOREIGN">"c2659"</definedName>
    <definedName name="IQ_DEF_BENEFIT_TOTAL_COST">"c287"</definedName>
    <definedName name="IQ_DEF_BENEFIT_TOTAL_COST_DOMESTIC">"c2655"</definedName>
    <definedName name="IQ_DEF_BENEFIT_TOTAL_COST_FOREIGN">"c2663"</definedName>
    <definedName name="IQ_DEF_CHARGES_BR">"c288"</definedName>
    <definedName name="IQ_DEF_CHARGES_CF">"c289"</definedName>
    <definedName name="IQ_DEF_CHARGES_FIN">"c290"</definedName>
    <definedName name="IQ_DEF_CHARGES_INS">"c291"</definedName>
    <definedName name="IQ_DEF_CHARGES_LT">"c292"</definedName>
    <definedName name="IQ_DEF_CHARGES_LT_BNK">"c293"</definedName>
    <definedName name="IQ_DEF_CHARGES_LT_BR">"c294"</definedName>
    <definedName name="IQ_DEF_CHARGES_LT_FIN">"c295"</definedName>
    <definedName name="IQ_DEF_CHARGES_LT_INS">"c296"</definedName>
    <definedName name="IQ_DEF_CHARGES_LT_REIT">"c297"</definedName>
    <definedName name="IQ_DEF_CHARGES_LT_UTI">"c298"</definedName>
    <definedName name="IQ_DEF_CHARGES_REIT">"c299"</definedName>
    <definedName name="IQ_DEF_CONTRIBUTION_TOTAL_COST">"c300"</definedName>
    <definedName name="IQ_DEF_INC_TAX">"c1365"</definedName>
    <definedName name="IQ_DEF_POLICY_ACQ_COSTS">"c301"</definedName>
    <definedName name="IQ_DEF_POLICY_ACQ_COSTS_CF">"c302"</definedName>
    <definedName name="IQ_DEF_POLICY_AMORT">"c303"</definedName>
    <definedName name="IQ_DEF_TAX_ASSET_LT_BR">"c304"</definedName>
    <definedName name="IQ_DEF_TAX_ASSET_LT_FIN">"c305"</definedName>
    <definedName name="IQ_DEF_TAX_ASSET_LT_INS">"c306"</definedName>
    <definedName name="IQ_DEF_TAX_ASSET_LT_REIT">"c307"</definedName>
    <definedName name="IQ_DEF_TAX_ASSET_LT_UTI">"c308"</definedName>
    <definedName name="IQ_DEF_TAX_ASSETS_CURRENT">"c309"</definedName>
    <definedName name="IQ_DEF_TAX_ASSETS_LT">"c310"</definedName>
    <definedName name="IQ_DEF_TAX_ASSETS_LT_BNK">"c311"</definedName>
    <definedName name="IQ_DEF_TAX_LIAB_CURRENT">"c312"</definedName>
    <definedName name="IQ_DEF_TAX_LIAB_LT">"c313"</definedName>
    <definedName name="IQ_DEF_TAX_LIAB_LT_BNK">"c314"</definedName>
    <definedName name="IQ_DEF_TAX_LIAB_LT_BR">"c315"</definedName>
    <definedName name="IQ_DEF_TAX_LIAB_LT_FIN">"c316"</definedName>
    <definedName name="IQ_DEF_TAX_LIAB_LT_INS">"c317"</definedName>
    <definedName name="IQ_DEF_TAX_LIAB_LT_REIT">"c318"</definedName>
    <definedName name="IQ_DEF_TAX_LIAB_LT_UTI">"c319"</definedName>
    <definedName name="IQ_DEFERRED_DOMESTIC_TAXES">"c2077"</definedName>
    <definedName name="IQ_DEFERRED_FOREIGN_TAXES">"c2078"</definedName>
    <definedName name="IQ_DEFERRED_INC_TAX">"c1447"</definedName>
    <definedName name="IQ_DEFERRED_TAXES">"c1356"</definedName>
    <definedName name="IQ_DEMAND_DEP">"c320"</definedName>
    <definedName name="IQ_DEPOSITS_FIN">"c321"</definedName>
    <definedName name="IQ_DEPOSITS_INTEREST_SECURITIES">"c5509"</definedName>
    <definedName name="IQ_DEPRE_AMORT">"c1360"</definedName>
    <definedName name="IQ_DEPRE_AMORT_SUPPL">"c1593"</definedName>
    <definedName name="IQ_DEPRE_DEPLE">"c1361"</definedName>
    <definedName name="IQ_DEPRE_SUPP">"c1443"</definedName>
    <definedName name="IQ_DESCRIPTION_LONG">"c1520"</definedName>
    <definedName name="IQ_DEVELOP_LAND">"c323"</definedName>
    <definedName name="IQ_DIFF_LASTCLOSE_TARGET_PRICE">"c1854"</definedName>
    <definedName name="IQ_DIFF_LASTCLOSE_TARGET_PRICE_REUT">"c5436"</definedName>
    <definedName name="IQ_DILUT_ADJUST">"c1621"</definedName>
    <definedName name="IQ_DILUT_EPS_EXCL">"c324"</definedName>
    <definedName name="IQ_DILUT_EPS_INCL">"c325"</definedName>
    <definedName name="IQ_DILUT_EPS_NORM">"c1903"</definedName>
    <definedName name="IQ_DILUT_NI">"c2079"</definedName>
    <definedName name="IQ_DILUT_NORMAL_EPS">"c1594"</definedName>
    <definedName name="IQ_DILUT_OUTSTANDING_CURRENT_EST">"c4263"</definedName>
    <definedName name="IQ_DILUT_OUTSTANDING_CURRENT_HIGH_EST">"c4264"</definedName>
    <definedName name="IQ_DILUT_OUTSTANDING_CURRENT_LOW_EST">"c4265"</definedName>
    <definedName name="IQ_DILUT_OUTSTANDING_CURRENT_MEDIAN_EST">"c4266"</definedName>
    <definedName name="IQ_DILUT_OUTSTANDING_CURRENT_NUM_EST">"c4267"</definedName>
    <definedName name="IQ_DILUT_OUTSTANDING_CURRENT_STDDEV_EST">"c4268"</definedName>
    <definedName name="IQ_DILUT_WEIGHT">"c326"</definedName>
    <definedName name="IQ_DILUT_WEIGHT_EST">"c4269"</definedName>
    <definedName name="IQ_DILUT_WEIGHT_GUIDANCE">"c4270"</definedName>
    <definedName name="IQ_DILUT_WEIGHT_HIGH_EST">"c4271"</definedName>
    <definedName name="IQ_DILUT_WEIGHT_LOW_EST">"c4272"</definedName>
    <definedName name="IQ_DILUT_WEIGHT_MEDIAN_EST">"c4273"</definedName>
    <definedName name="IQ_DILUT_WEIGHT_NUM_EST">"c4274"</definedName>
    <definedName name="IQ_DILUT_WEIGHT_STDDEV_EST">"c4275"</definedName>
    <definedName name="IQ_DIRECT_AH_EARNED">"c2740"</definedName>
    <definedName name="IQ_DIRECT_EARNED">"c2730"</definedName>
    <definedName name="IQ_DIRECT_LIFE_EARNED">"c2735"</definedName>
    <definedName name="IQ_DIRECT_LIFE_IN_FORCE">"c2765"</definedName>
    <definedName name="IQ_DIRECT_PC_EARNED">"c2745"</definedName>
    <definedName name="IQ_DIRECT_WRITTEN">"c2724"</definedName>
    <definedName name="IQ_DISCONT_OPER">"c1367"</definedName>
    <definedName name="IQ_DISCOUNT_RATE_PENSION_DOMESTIC">"c327"</definedName>
    <definedName name="IQ_DISCOUNT_RATE_PENSION_FOREIGN">"c328"</definedName>
    <definedName name="IQ_DISTR_EXCESS_EARN">"c329"</definedName>
    <definedName name="IQ_DISTRIBUTABLE_CASH">"c3002"</definedName>
    <definedName name="IQ_DISTRIBUTABLE_CASH_ACT_OR_EST">"c4278"</definedName>
    <definedName name="IQ_DISTRIBUTABLE_CASH_EST">"c4277"</definedName>
    <definedName name="IQ_DISTRIBUTABLE_CASH_GUIDANCE">"c4279"</definedName>
    <definedName name="IQ_DISTRIBUTABLE_CASH_HIGH_EST">"c4280"</definedName>
    <definedName name="IQ_DISTRIBUTABLE_CASH_HIGH_GUIDANCE">"c4198"</definedName>
    <definedName name="IQ_DISTRIBUTABLE_CASH_LOW_EST">"c4281"</definedName>
    <definedName name="IQ_DISTRIBUTABLE_CASH_LOW_GUIDANCE">"c4238"</definedName>
    <definedName name="IQ_DISTRIBUTABLE_CASH_MEDIAN_EST">"c4282"</definedName>
    <definedName name="IQ_DISTRIBUTABLE_CASH_NUM_EST">"c4283"</definedName>
    <definedName name="IQ_DISTRIBUTABLE_CASH_PAYOUT">"c3005"</definedName>
    <definedName name="IQ_DISTRIBUTABLE_CASH_SHARE">"c3003"</definedName>
    <definedName name="IQ_DISTRIBUTABLE_CASH_SHARE_ACT_OR_EST">"c4286"</definedName>
    <definedName name="IQ_DISTRIBUTABLE_CASH_SHARE_EST">"c4285"</definedName>
    <definedName name="IQ_DISTRIBUTABLE_CASH_SHARE_GUIDANCE">"c4287"</definedName>
    <definedName name="IQ_DISTRIBUTABLE_CASH_SHARE_HIGH_EST">"c4288"</definedName>
    <definedName name="IQ_DISTRIBUTABLE_CASH_SHARE_HIGH_GUIDANCE">"c4199"</definedName>
    <definedName name="IQ_DISTRIBUTABLE_CASH_SHARE_LOW_EST">"c4289"</definedName>
    <definedName name="IQ_DISTRIBUTABLE_CASH_SHARE_LOW_GUIDANCE">"c4239"</definedName>
    <definedName name="IQ_DISTRIBUTABLE_CASH_SHARE_MEDIAN_EST">"c4290"</definedName>
    <definedName name="IQ_DISTRIBUTABLE_CASH_SHARE_NUM_EST">"c4291"</definedName>
    <definedName name="IQ_DISTRIBUTABLE_CASH_SHARE_STDDEV_EST">"c4292"</definedName>
    <definedName name="IQ_DISTRIBUTABLE_CASH_STDDEV_EST">"c4294"</definedName>
    <definedName name="IQ_DIV_AMOUNT">"c3041"</definedName>
    <definedName name="IQ_DIV_PAYMENT_DATE">"c2205"</definedName>
    <definedName name="IQ_DIV_RECORD_DATE">"c2204"</definedName>
    <definedName name="IQ_DIV_SHARE">"c330"</definedName>
    <definedName name="IQ_DIVEST_CF">"c331"</definedName>
    <definedName name="IQ_DIVID_SHARE">"c1366"</definedName>
    <definedName name="IQ_DIVIDEND_EST">"c4296"</definedName>
    <definedName name="IQ_DIVIDEND_HIGH_EST">"c4297"</definedName>
    <definedName name="IQ_DIVIDEND_LOW_EST">"c4298"</definedName>
    <definedName name="IQ_DIVIDEND_MEDIAN_EST">"c4299"</definedName>
    <definedName name="IQ_DIVIDEND_NUM_EST">"c4300"</definedName>
    <definedName name="IQ_DIVIDEND_STDDEV_EST">"c4301"</definedName>
    <definedName name="IQ_DIVIDEND_YIELD">"c332"</definedName>
    <definedName name="IQ_DNTM">700000</definedName>
    <definedName name="IQ_DO">"c333"</definedName>
    <definedName name="IQ_DO_ASSETS_CURRENT">"c334"</definedName>
    <definedName name="IQ_DO_ASSETS_LT">"c335"</definedName>
    <definedName name="IQ_DO_CF">"c336"</definedName>
    <definedName name="IQ_DPAC_ACC">"c2799"</definedName>
    <definedName name="IQ_DPAC_AMORT">"c2795"</definedName>
    <definedName name="IQ_DPAC_BEG">"c2791"</definedName>
    <definedName name="IQ_DPAC_COMMISSIONS">"c2792"</definedName>
    <definedName name="IQ_DPAC_END">"c2801"</definedName>
    <definedName name="IQ_DPAC_FX">"c2798"</definedName>
    <definedName name="IQ_DPAC_OTHER_ADJ">"c2800"</definedName>
    <definedName name="IQ_DPAC_OTHERS">"c2793"</definedName>
    <definedName name="IQ_DPAC_PERIOD">"c2794"</definedName>
    <definedName name="IQ_DPAC_REAL_GAIN">"c2797"</definedName>
    <definedName name="IQ_DPAC_UNREAL_GAIN">"c2796"</definedName>
    <definedName name="IQ_DPS_10YR_ANN_GROWTH">"c337"</definedName>
    <definedName name="IQ_DPS_1YR_ANN_GROWTH">"c338"</definedName>
    <definedName name="IQ_DPS_2YR_ANN_GROWTH">"c339"</definedName>
    <definedName name="IQ_DPS_3YR_ANN_GROWTH">"c340"</definedName>
    <definedName name="IQ_DPS_5YR_ANN_GROWTH">"c341"</definedName>
    <definedName name="IQ_DPS_7YR_ANN_GROWTH">"c342"</definedName>
    <definedName name="IQ_DPS_ACT_OR_EST">"c2218"</definedName>
    <definedName name="IQ_DPS_ACT_OR_EST_REUT">"c5464"</definedName>
    <definedName name="IQ_DPS_EST">"c1674"</definedName>
    <definedName name="IQ_DPS_EST_BOTTOM_UP">"c5493"</definedName>
    <definedName name="IQ_DPS_EST_BOTTOM_UP_REUT">"c5501"</definedName>
    <definedName name="IQ_DPS_EST_REUT">"c3851"</definedName>
    <definedName name="IQ_DPS_GUIDANCE">"c4302"</definedName>
    <definedName name="IQ_DPS_HIGH_EST">"c1676"</definedName>
    <definedName name="IQ_DPS_HIGH_EST_REUT">"c3853"</definedName>
    <definedName name="IQ_DPS_HIGH_GUIDANCE">"c4168"</definedName>
    <definedName name="IQ_DPS_LOW_EST">"c1677"</definedName>
    <definedName name="IQ_DPS_LOW_EST_REUT">"c3854"</definedName>
    <definedName name="IQ_DPS_LOW_GUIDANCE">"c4208"</definedName>
    <definedName name="IQ_DPS_MEDIAN_EST">"c1675"</definedName>
    <definedName name="IQ_DPS_MEDIAN_EST_REUT">"c3852"</definedName>
    <definedName name="IQ_DPS_NUM_EST">"c1678"</definedName>
    <definedName name="IQ_DPS_NUM_EST_REUT">"c3855"</definedName>
    <definedName name="IQ_DPS_STDDEV_EST">"c1679"</definedName>
    <definedName name="IQ_DPS_STDDEV_EST_REUT">"c3856"</definedName>
    <definedName name="IQ_DURATION">"c2181"</definedName>
    <definedName name="IQ_EARNING_ASSET_YIELD">"c343"</definedName>
    <definedName name="IQ_EARNING_CO">"c344"</definedName>
    <definedName name="IQ_EARNING_CO_10YR_ANN_GROWTH">"c345"</definedName>
    <definedName name="IQ_EARNING_CO_1YR_ANN_GROWTH">"c346"</definedName>
    <definedName name="IQ_EARNING_CO_2YR_ANN_GROWTH">"c347"</definedName>
    <definedName name="IQ_EARNING_CO_3YR_ANN_GROWTH">"c348"</definedName>
    <definedName name="IQ_EARNING_CO_5YR_ANN_GROWTH">"c349"</definedName>
    <definedName name="IQ_EARNING_CO_7YR_ANN_GROWTH">"c350"</definedName>
    <definedName name="IQ_EARNING_CO_MARGIN">"c351"</definedName>
    <definedName name="IQ_EARNINGS_ANNOUNCE_DATE">"c1649"</definedName>
    <definedName name="IQ_EARNINGS_ANNOUNCE_DATE_REUT">"c5314"</definedName>
    <definedName name="IQ_EBIT">"c352"</definedName>
    <definedName name="IQ_EBIT_10YR_ANN_GROWTH">"c353"</definedName>
    <definedName name="IQ_EBIT_1YR_ANN_GROWTH">"c354"</definedName>
    <definedName name="IQ_EBIT_2YR_ANN_GROWTH">"c355"</definedName>
    <definedName name="IQ_EBIT_3YR_ANN_GROWTH">"c356"</definedName>
    <definedName name="IQ_EBIT_5YR_ANN_GROWTH">"c357"</definedName>
    <definedName name="IQ_EBIT_7YR_ANN_GROWTH">"c358"</definedName>
    <definedName name="IQ_EBIT_ACT_OR_EST">"c2219"</definedName>
    <definedName name="IQ_EBIT_ACT_OR_EST_REUT">"c5465"</definedName>
    <definedName name="IQ_EBIT_EQ_INC">"c3498"</definedName>
    <definedName name="IQ_EBIT_EQ_INC_EXCL_SBC">"c3502"</definedName>
    <definedName name="IQ_EBIT_EST">"c1681"</definedName>
    <definedName name="IQ_EBIT_EST_REUT">"c5333"</definedName>
    <definedName name="IQ_EBIT_EXCL_SBC">"c3082"</definedName>
    <definedName name="IQ_EBIT_GUIDANCE">"c4303"</definedName>
    <definedName name="IQ_EBIT_GW_ACT_OR_EST">"c4306"</definedName>
    <definedName name="IQ_EBIT_GW_EST">"c4305"</definedName>
    <definedName name="IQ_EBIT_GW_GUIDANCE">"c4307"</definedName>
    <definedName name="IQ_EBIT_GW_HIGH_EST">"c4308"</definedName>
    <definedName name="IQ_EBIT_GW_HIGH_GUIDANCE">"c4171"</definedName>
    <definedName name="IQ_EBIT_GW_LOW_EST">"c4309"</definedName>
    <definedName name="IQ_EBIT_GW_LOW_GUIDANCE">"c4211"</definedName>
    <definedName name="IQ_EBIT_GW_MEDIAN_EST">"c4310"</definedName>
    <definedName name="IQ_EBIT_GW_NUM_EST">"c4311"</definedName>
    <definedName name="IQ_EBIT_GW_STDDEV_EST">"c4312"</definedName>
    <definedName name="IQ_EBIT_HIGH_EST">"c1683"</definedName>
    <definedName name="IQ_EBIT_HIGH_EST_REUT">"c5335"</definedName>
    <definedName name="IQ_EBIT_HIGH_GUIDANCE">"c4172"</definedName>
    <definedName name="IQ_EBIT_INT">"c360"</definedName>
    <definedName name="IQ_EBIT_LOW_EST">"c1684"</definedName>
    <definedName name="IQ_EBIT_LOW_EST_REUT">"c5336"</definedName>
    <definedName name="IQ_EBIT_LOW_GUIDANCE">"c4212"</definedName>
    <definedName name="IQ_EBIT_MARGIN">"c359"</definedName>
    <definedName name="IQ_EBIT_MEDIAN_EST">"c1682"</definedName>
    <definedName name="IQ_EBIT_MEDIAN_EST_REUT">"c5334"</definedName>
    <definedName name="IQ_EBIT_NUM_EST">"c1685"</definedName>
    <definedName name="IQ_EBIT_NUM_EST_REUT">"c5337"</definedName>
    <definedName name="IQ_EBIT_OVER_IE">"c1369"</definedName>
    <definedName name="IQ_EBIT_SBC_ACT_OR_EST">"c4316"</definedName>
    <definedName name="IQ_EBIT_SBC_EST">"c4315"</definedName>
    <definedName name="IQ_EBIT_SBC_GUIDANCE">"c4317"</definedName>
    <definedName name="IQ_EBIT_SBC_GW_ACT_OR_EST">"c4320"</definedName>
    <definedName name="IQ_EBIT_SBC_GW_EST">"c4319"</definedName>
    <definedName name="IQ_EBIT_SBC_GW_GUIDANCE">"c4321"</definedName>
    <definedName name="IQ_EBIT_SBC_GW_HIGH_EST">"c4322"</definedName>
    <definedName name="IQ_EBIT_SBC_GW_HIGH_GUIDANCE">"c4193"</definedName>
    <definedName name="IQ_EBIT_SBC_GW_LOW_EST">"c4323"</definedName>
    <definedName name="IQ_EBIT_SBC_GW_LOW_GUIDANCE">"c4233"</definedName>
    <definedName name="IQ_EBIT_SBC_GW_MEDIAN_EST">"c4324"</definedName>
    <definedName name="IQ_EBIT_SBC_GW_NUM_EST">"c4325"</definedName>
    <definedName name="IQ_EBIT_SBC_GW_STDDEV_EST">"c4326"</definedName>
    <definedName name="IQ_EBIT_SBC_HIGH_EST">"c4328"</definedName>
    <definedName name="IQ_EBIT_SBC_HIGH_GUIDANCE">"c4192"</definedName>
    <definedName name="IQ_EBIT_SBC_LOW_EST">"c4329"</definedName>
    <definedName name="IQ_EBIT_SBC_LOW_GUIDANCE">"c4232"</definedName>
    <definedName name="IQ_EBIT_SBC_MEDIAN_EST">"c4330"</definedName>
    <definedName name="IQ_EBIT_SBC_NUM_EST">"c4331"</definedName>
    <definedName name="IQ_EBIT_SBC_STDDEV_EST">"c4332"</definedName>
    <definedName name="IQ_EBIT_STDDEV_EST">"c1686"</definedName>
    <definedName name="IQ_EBIT_STDDEV_EST_REUT">"c5338"</definedName>
    <definedName name="IQ_EBITA">"c1910"</definedName>
    <definedName name="IQ_EBITA_10YR_ANN_GROWTH">"c1954"</definedName>
    <definedName name="IQ_EBITA_1YR_ANN_GROWTH">"c1949"</definedName>
    <definedName name="IQ_EBITA_2YR_ANN_GROWTH">"c1950"</definedName>
    <definedName name="IQ_EBITA_3YR_ANN_GROWTH">"c1951"</definedName>
    <definedName name="IQ_EBITA_5YR_ANN_GROWTH">"c1952"</definedName>
    <definedName name="IQ_EBITA_7YR_ANN_GROWTH">"c1953"</definedName>
    <definedName name="IQ_EBITA_EQ_INC">"c3497"</definedName>
    <definedName name="IQ_EBITA_EQ_INC_EXCL_SBC">"c3501"</definedName>
    <definedName name="IQ_EBITA_EXCL_SBC">"c3080"</definedName>
    <definedName name="IQ_EBITA_MARGIN">"c1963"</definedName>
    <definedName name="IQ_EBITDA">"c361"</definedName>
    <definedName name="IQ_EBITDA_10YR_ANN_GROWTH">"c362"</definedName>
    <definedName name="IQ_EBITDA_1YR_ANN_GROWTH">"c363"</definedName>
    <definedName name="IQ_EBITDA_2YR_ANN_GROWTH">"c364"</definedName>
    <definedName name="IQ_EBITDA_3YR_ANN_GROWTH">"c365"</definedName>
    <definedName name="IQ_EBITDA_5YR_ANN_GROWTH">"c366"</definedName>
    <definedName name="IQ_EBITDA_7YR_ANN_GROWTH">"c367"</definedName>
    <definedName name="IQ_EBITDA_ACT_OR_EST">"c2215"</definedName>
    <definedName name="IQ_EBITDA_ACT_OR_EST_REUT">"c5462"</definedName>
    <definedName name="IQ_EBITDA_CAPEX_INT">"c368"</definedName>
    <definedName name="IQ_EBITDA_CAPEX_OVER_TOTAL_IE">"c1370"</definedName>
    <definedName name="IQ_EBITDA_EQ_INC">"c3496"</definedName>
    <definedName name="IQ_EBITDA_EQ_INC_EXCL_SBC">"c3500"</definedName>
    <definedName name="IQ_EBITDA_EST">"c369"</definedName>
    <definedName name="IQ_EBITDA_EST_REUT">"c3640"</definedName>
    <definedName name="IQ_EBITDA_EXCL_SBC">"c3081"</definedName>
    <definedName name="IQ_EBITDA_GUIDANCE">"c4334"</definedName>
    <definedName name="IQ_EBITDA_HIGH_EST">"c370"</definedName>
    <definedName name="IQ_EBITDA_HIGH_EST_REUT">"c3642"</definedName>
    <definedName name="IQ_EBITDA_HIGH_GUIDANCE">"c4170"</definedName>
    <definedName name="IQ_EBITDA_INT">"c373"</definedName>
    <definedName name="IQ_EBITDA_LOW_EST">"c371"</definedName>
    <definedName name="IQ_EBITDA_LOW_EST_REUT">"c3643"</definedName>
    <definedName name="IQ_EBITDA_LOW_GUIDANCE">"c4210"</definedName>
    <definedName name="IQ_EBITDA_MARGIN">"c372"</definedName>
    <definedName name="IQ_EBITDA_MEDIAN_EST">"c1663"</definedName>
    <definedName name="IQ_EBITDA_MEDIAN_EST_REUT">"c3641"</definedName>
    <definedName name="IQ_EBITDA_NUM_EST">"c374"</definedName>
    <definedName name="IQ_EBITDA_NUM_EST_REUT">"c3644"</definedName>
    <definedName name="IQ_EBITDA_OVER_TOTAL_IE">"c1371"</definedName>
    <definedName name="IQ_EBITDA_SBC_ACT_OR_EST">"c4337"</definedName>
    <definedName name="IQ_EBITDA_SBC_EST">"c4336"</definedName>
    <definedName name="IQ_EBITDA_SBC_GUIDANCE">"c4338"</definedName>
    <definedName name="IQ_EBITDA_SBC_HIGH_EST">"c4339"</definedName>
    <definedName name="IQ_EBITDA_SBC_HIGH_GUIDANCE">"c4194"</definedName>
    <definedName name="IQ_EBITDA_SBC_LOW_EST">"c4340"</definedName>
    <definedName name="IQ_EBITDA_SBC_LOW_GUIDANCE">"c4234"</definedName>
    <definedName name="IQ_EBITDA_SBC_MEDIAN_EST">"c4341"</definedName>
    <definedName name="IQ_EBITDA_SBC_NUM_EST">"c4342"</definedName>
    <definedName name="IQ_EBITDA_SBC_STDDEV_EST">"c4343"</definedName>
    <definedName name="IQ_EBITDA_STDDEV_EST">"c375"</definedName>
    <definedName name="IQ_EBITDA_STDDEV_EST_REUT">"c3645"</definedName>
    <definedName name="IQ_EBITDAR">"c2989"</definedName>
    <definedName name="IQ_EBITDAR_EQ_INC">"c3499"</definedName>
    <definedName name="IQ_EBITDAR_EQ_INC_EXCL_SBC">"c3503"</definedName>
    <definedName name="IQ_EBITDAR_EXCL_SBC">"c3083"</definedName>
    <definedName name="IQ_EBT">"c376"</definedName>
    <definedName name="IQ_EBT_BNK">"c377"</definedName>
    <definedName name="IQ_EBT_BR">"c378"</definedName>
    <definedName name="IQ_EBT_EXCL">"c379"</definedName>
    <definedName name="IQ_EBT_EXCL_BNK">"c380"</definedName>
    <definedName name="IQ_EBT_EXCL_BR">"c381"</definedName>
    <definedName name="IQ_EBT_EXCL_FIN">"c382"</definedName>
    <definedName name="IQ_EBT_EXCL_INS">"c383"</definedName>
    <definedName name="IQ_EBT_EXCL_MARGIN">"c1462"</definedName>
    <definedName name="IQ_EBT_EXCL_REIT">"c384"</definedName>
    <definedName name="IQ_EBT_EXCL_UTI">"c385"</definedName>
    <definedName name="IQ_EBT_FIN">"c386"</definedName>
    <definedName name="IQ_EBT_GAAP_GUIDANCE">"c4345"</definedName>
    <definedName name="IQ_EBT_GAAP_HIGH_GUIDANCE">"c4174"</definedName>
    <definedName name="IQ_EBT_GAAP_LOW_GUIDANCE">"c4214"</definedName>
    <definedName name="IQ_EBT_GUIDANCE">"c4346"</definedName>
    <definedName name="IQ_EBT_GW_GUIDANCE">"c4347"</definedName>
    <definedName name="IQ_EBT_GW_HIGH_GUIDANCE">"c4175"</definedName>
    <definedName name="IQ_EBT_GW_LOW_GUIDANCE">"c4215"</definedName>
    <definedName name="IQ_EBT_HIGH_GUIDANCE">"c4173"</definedName>
    <definedName name="IQ_EBT_INCL_MARGIN">"c387"</definedName>
    <definedName name="IQ_EBT_INS">"c388"</definedName>
    <definedName name="IQ_EBT_LOW_GUIDANCE">"c4213"</definedName>
    <definedName name="IQ_EBT_REIT">"c389"</definedName>
    <definedName name="IQ_EBT_SBC_ACT_OR_EST">"c4350"</definedName>
    <definedName name="IQ_EBT_SBC_EST">"c4349"</definedName>
    <definedName name="IQ_EBT_SBC_GUIDANCE">"c4351"</definedName>
    <definedName name="IQ_EBT_SBC_GW_ACT_OR_EST">"c4354"</definedName>
    <definedName name="IQ_EBT_SBC_GW_EST">"c4353"</definedName>
    <definedName name="IQ_EBT_SBC_GW_GUIDANCE">"c4355"</definedName>
    <definedName name="IQ_EBT_SBC_GW_HIGH_EST">"c4356"</definedName>
    <definedName name="IQ_EBT_SBC_GW_HIGH_GUIDANCE">"c4191"</definedName>
    <definedName name="IQ_EBT_SBC_GW_LOW_EST">"c4357"</definedName>
    <definedName name="IQ_EBT_SBC_GW_LOW_GUIDANCE">"c4231"</definedName>
    <definedName name="IQ_EBT_SBC_GW_MEDIAN_EST">"c4358"</definedName>
    <definedName name="IQ_EBT_SBC_GW_NUM_EST">"c4359"</definedName>
    <definedName name="IQ_EBT_SBC_GW_STDDEV_EST">"c4360"</definedName>
    <definedName name="IQ_EBT_SBC_HIGH_EST">"c4362"</definedName>
    <definedName name="IQ_EBT_SBC_HIGH_GUIDANCE">"c4190"</definedName>
    <definedName name="IQ_EBT_SBC_LOW_EST">"c4363"</definedName>
    <definedName name="IQ_EBT_SBC_LOW_GUIDANCE">"c4230"</definedName>
    <definedName name="IQ_EBT_SBC_MEDIAN_EST">"c4364"</definedName>
    <definedName name="IQ_EBT_SBC_NUM_EST">"c4365"</definedName>
    <definedName name="IQ_EBT_SBC_STDDEV_EST">"c4366"</definedName>
    <definedName name="IQ_EBT_UTI">"c390"</definedName>
    <definedName name="IQ_ECO_METRIC_6825_UNUSED_UNUSED_UNUSED">"c6825"</definedName>
    <definedName name="IQ_ECO_METRIC_6839_UNUSED_UNUSED_UNUSED">"c6839"</definedName>
    <definedName name="IQ_ECO_METRIC_6896_UNUSED_UNUSED_UNUSED">"c6896"</definedName>
    <definedName name="IQ_ECO_METRIC_6897_UNUSED_UNUSED_UNUSED">"c6897"</definedName>
    <definedName name="IQ_ECO_METRIC_6988_UNUSED_UNUSED_UNUSED">"c6988"</definedName>
    <definedName name="IQ_ECO_METRIC_7045_UNUSED_UNUSED_UNUSED">"c7045"</definedName>
    <definedName name="IQ_ECO_METRIC_7059_UNUSED_UNUSED_UNUSED">"c7059"</definedName>
    <definedName name="IQ_ECO_METRIC_7116_UNUSED_UNUSED_UNUSED">"c7116"</definedName>
    <definedName name="IQ_ECO_METRIC_7117_UNUSED_UNUSED_UNUSED">"c7117"</definedName>
    <definedName name="IQ_ECO_METRIC_7208_UNUSED_UNUSED_UNUSED">"c7208"</definedName>
    <definedName name="IQ_ECO_METRIC_7265_UNUSED_UNUSED_UNUSED">"c7265"</definedName>
    <definedName name="IQ_ECO_METRIC_7279_UNUSED_UNUSED_UNUSED">"c7279"</definedName>
    <definedName name="IQ_ECO_METRIC_7336_UNUSED_UNUSED_UNUSED">"c7336"</definedName>
    <definedName name="IQ_ECO_METRIC_7337_UNUSED_UNUSED_UNUSED">"c7337"</definedName>
    <definedName name="IQ_ECO_METRIC_7428_UNUSED_UNUSED_UNUSED">"c7428"</definedName>
    <definedName name="IQ_ECO_METRIC_7556_UNUSED_UNUSED_UNUSED">"c7556"</definedName>
    <definedName name="IQ_ECO_METRIC_7557_UNUSED_UNUSED_UNUSED">"c7557"</definedName>
    <definedName name="IQ_ECO_METRIC_7648_UNUSED_UNUSED_UNUSED">"c7648"</definedName>
    <definedName name="IQ_ECO_METRIC_7705_UNUSED_UNUSED_UNUSED">"c7705"</definedName>
    <definedName name="IQ_ECO_METRIC_7719_UNUSED_UNUSED_UNUSED">"c7719"</definedName>
    <definedName name="IQ_ECO_METRIC_7776_UNUSED_UNUSED_UNUSED">"c7776"</definedName>
    <definedName name="IQ_ECO_METRIC_7777_UNUSED_UNUSED_UNUSED">"c7777"</definedName>
    <definedName name="IQ_ECO_METRIC_7868_UNUSED_UNUSED_UNUSED">"c7868"</definedName>
    <definedName name="IQ_ECO_METRIC_7925_UNUSED_UNUSED_UNUSED">"c7925"</definedName>
    <definedName name="IQ_ECO_METRIC_7939_UNUSED_UNUSED_UNUSED">"c7939"</definedName>
    <definedName name="IQ_ECO_METRIC_7996_UNUSED_UNUSED_UNUSED">"c7996"</definedName>
    <definedName name="IQ_ECO_METRIC_7997_UNUSED_UNUSED_UNUSED">"c7997"</definedName>
    <definedName name="IQ_ECO_METRIC_8088_UNUSED_UNUSED_UNUSED">"c8088"</definedName>
    <definedName name="IQ_ECO_METRIC_8145_UNUSED_UNUSED_UNUSED">"c8145"</definedName>
    <definedName name="IQ_ECO_METRIC_8159_UNUSED_UNUSED_UNUSED">"c8159"</definedName>
    <definedName name="IQ_ECO_METRIC_8216_UNUSED_UNUSED_UNUSED">"c8216"</definedName>
    <definedName name="IQ_ECO_METRIC_8217_UNUSED_UNUSED_UNUSED">"c8217"</definedName>
    <definedName name="IQ_ECO_METRIC_8308_UNUSED_UNUSED_UNUSED">"c8308"</definedName>
    <definedName name="IQ_ECO_METRIC_8436_UNUSED_UNUSED_UNUSED">"c8436"</definedName>
    <definedName name="IQ_ECO_METRIC_8437_UNUSED_UNUSED_UNUSED">"c8437"</definedName>
    <definedName name="IQ_ECO_METRIC_8528_UNUSED_UNUSED_UNUSED">"c8528"</definedName>
    <definedName name="IQ_ECS_AUTHORIZED_SHARES">"c5583"</definedName>
    <definedName name="IQ_ECS_AUTHORIZED_SHARES_ABS">"c5597"</definedName>
    <definedName name="IQ_ECS_CONVERT_FACTOR">"c5581"</definedName>
    <definedName name="IQ_ECS_CONVERT_FACTOR_ABS">"c5595"</definedName>
    <definedName name="IQ_ECS_CONVERT_INTO">"c5580"</definedName>
    <definedName name="IQ_ECS_CONVERT_INTO_ABS">"c5594"</definedName>
    <definedName name="IQ_ECS_CONVERT_TYPE">"c5579"</definedName>
    <definedName name="IQ_ECS_CONVERT_TYPE_ABS">"c5593"</definedName>
    <definedName name="IQ_ECS_INACTIVE_DATE">"c5576"</definedName>
    <definedName name="IQ_ECS_INACTIVE_DATE_ABS">"c5590"</definedName>
    <definedName name="IQ_ECS_NAME">"c5571"</definedName>
    <definedName name="IQ_ECS_NAME_ABS">"c5585"</definedName>
    <definedName name="IQ_ECS_NUM_SHAREHOLDERS">"c5584"</definedName>
    <definedName name="IQ_ECS_NUM_SHAREHOLDERS_ABS">"c5598"</definedName>
    <definedName name="IQ_ECS_PAR_VALUE">"c5577"</definedName>
    <definedName name="IQ_ECS_PAR_VALUE_ABS">"c5591"</definedName>
    <definedName name="IQ_ECS_PAR_VALUE_CURRENCY">"c5578"</definedName>
    <definedName name="IQ_ECS_PAR_VALUE_CURRENCY_ABS">"c5592"</definedName>
    <definedName name="IQ_ECS_SHARES_OUT_BS_DATE">"c5572"</definedName>
    <definedName name="IQ_ECS_SHARES_OUT_BS_DATE_ABS">"c5586"</definedName>
    <definedName name="IQ_ECS_SHARES_OUT_FILING_DATE">"c5573"</definedName>
    <definedName name="IQ_ECS_SHARES_OUT_FILING_DATE_ABS">"c5587"</definedName>
    <definedName name="IQ_ECS_START_DATE">"c5575"</definedName>
    <definedName name="IQ_ECS_START_DATE_ABS">"c5589"</definedName>
    <definedName name="IQ_ECS_TYPE">"c5574"</definedName>
    <definedName name="IQ_ECS_TYPE_ABS">"c5588"</definedName>
    <definedName name="IQ_ECS_VOTING">"c5582"</definedName>
    <definedName name="IQ_ECS_VOTING_ABS">"c5596"</definedName>
    <definedName name="IQ_EFFECT_SPECIAL_CHARGE">"c1595"</definedName>
    <definedName name="IQ_EFFECT_TAX_RATE">"c1899"</definedName>
    <definedName name="IQ_EFFICIENCY_RATIO">"c391"</definedName>
    <definedName name="IQ_EMPLOYEES">"c392"</definedName>
    <definedName name="IQ_ENTERPRISE_VALUE">"c1348"</definedName>
    <definedName name="IQ_EPS_10YR_ANN_GROWTH">"c393"</definedName>
    <definedName name="IQ_EPS_1YR_ANN_GROWTH">"c394"</definedName>
    <definedName name="IQ_EPS_2YR_ANN_GROWTH">"c395"</definedName>
    <definedName name="IQ_EPS_3YR_ANN_GROWTH">"c396"</definedName>
    <definedName name="IQ_EPS_5YR_ANN_GROWTH">"c397"</definedName>
    <definedName name="IQ_EPS_7YR_ANN_GROWTH">"c398"</definedName>
    <definedName name="IQ_EPS_ACT_OR_EST">"c2213"</definedName>
    <definedName name="IQ_EPS_ACT_OR_EST_REUT">"c5460"</definedName>
    <definedName name="IQ_EPS_EST">"c399"</definedName>
    <definedName name="IQ_EPS_EST_BOTTOM_UP">"c5489"</definedName>
    <definedName name="IQ_EPS_EST_BOTTOM_UP_REUT">"c5497"</definedName>
    <definedName name="IQ_EPS_EST_REUT">"c5453"</definedName>
    <definedName name="IQ_EPS_EXCL_GUIDANCE">"c4368"</definedName>
    <definedName name="IQ_EPS_EXCL_HIGH_GUIDANCE">"c4369"</definedName>
    <definedName name="IQ_EPS_EXCL_LOW_GUIDANCE">"c4204"</definedName>
    <definedName name="IQ_EPS_GAAP_GUIDANCE">"c4370"</definedName>
    <definedName name="IQ_EPS_GAAP_HIGH_GUIDANCE">"c4371"</definedName>
    <definedName name="IQ_EPS_GAAP_LOW_GUIDANCE">"c4205"</definedName>
    <definedName name="IQ_EPS_GW_ACT_OR_EST">"c2223"</definedName>
    <definedName name="IQ_EPS_GW_ACT_OR_EST_REUT">"c5469"</definedName>
    <definedName name="IQ_EPS_GW_EST">"c1737"</definedName>
    <definedName name="IQ_EPS_GW_EST_BOTTOM_UP">"c5491"</definedName>
    <definedName name="IQ_EPS_GW_EST_BOTTOM_UP_REUT">"c5499"</definedName>
    <definedName name="IQ_EPS_GW_EST_REUT">"c5389"</definedName>
    <definedName name="IQ_EPS_GW_GUIDANCE">"c4372"</definedName>
    <definedName name="IQ_EPS_GW_HIGH_EST">"c1739"</definedName>
    <definedName name="IQ_EPS_GW_HIGH_EST_REUT">"c5391"</definedName>
    <definedName name="IQ_EPS_GW_HIGH_GUIDANCE">"c4373"</definedName>
    <definedName name="IQ_EPS_GW_LOW_EST">"c1740"</definedName>
    <definedName name="IQ_EPS_GW_LOW_EST_REUT">"c5392"</definedName>
    <definedName name="IQ_EPS_GW_LOW_GUIDANCE">"c4206"</definedName>
    <definedName name="IQ_EPS_GW_MEDIAN_EST">"c1738"</definedName>
    <definedName name="IQ_EPS_GW_MEDIAN_EST_REUT">"c5390"</definedName>
    <definedName name="IQ_EPS_GW_NUM_EST">"c1741"</definedName>
    <definedName name="IQ_EPS_GW_NUM_EST_REUT">"c5393"</definedName>
    <definedName name="IQ_EPS_GW_STDDEV_EST">"c1742"</definedName>
    <definedName name="IQ_EPS_GW_STDDEV_EST_REUT">"c5394"</definedName>
    <definedName name="IQ_EPS_HIGH_EST">"c400"</definedName>
    <definedName name="IQ_EPS_HIGH_EST_REUT">"c5454"</definedName>
    <definedName name="IQ_EPS_LOW_EST">"c401"</definedName>
    <definedName name="IQ_EPS_LOW_EST_REUT">"c5455"</definedName>
    <definedName name="IQ_EPS_MEDIAN_EST">"c1661"</definedName>
    <definedName name="IQ_EPS_MEDIAN_EST_REUT">"c5456"</definedName>
    <definedName name="IQ_EPS_NORM">"c1902"</definedName>
    <definedName name="IQ_EPS_NORM_EST">"c2226"</definedName>
    <definedName name="IQ_EPS_NORM_EST_BOTTOM_UP">"c5490"</definedName>
    <definedName name="IQ_EPS_NORM_EST_BOTTOM_UP_REUT">"c5498"</definedName>
    <definedName name="IQ_EPS_NORM_EST_REUT">"c5326"</definedName>
    <definedName name="IQ_EPS_NORM_HIGH_EST">"c2228"</definedName>
    <definedName name="IQ_EPS_NORM_HIGH_EST_REUT">"c5328"</definedName>
    <definedName name="IQ_EPS_NORM_LOW_EST">"c2229"</definedName>
    <definedName name="IQ_EPS_NORM_LOW_EST_REUT">"c5329"</definedName>
    <definedName name="IQ_EPS_NORM_MEDIAN_EST">"c2227"</definedName>
    <definedName name="IQ_EPS_NORM_MEDIAN_EST_REUT">"c5327"</definedName>
    <definedName name="IQ_EPS_NORM_NUM_EST">"c2230"</definedName>
    <definedName name="IQ_EPS_NORM_NUM_EST_REUT">"c5330"</definedName>
    <definedName name="IQ_EPS_NORM_STDDEV_EST">"c2231"</definedName>
    <definedName name="IQ_EPS_NORM_STDDEV_EST_REUT">"c5331"</definedName>
    <definedName name="IQ_EPS_NUM_EST">"c402"</definedName>
    <definedName name="IQ_EPS_NUM_EST_REUT">"c5451"</definedName>
    <definedName name="IQ_EPS_REPORT_ACT_OR_EST">"c2224"</definedName>
    <definedName name="IQ_EPS_REPORT_ACT_OR_EST_REUT">"c5470"</definedName>
    <definedName name="IQ_EPS_REPORTED_EST">"c1744"</definedName>
    <definedName name="IQ_EPS_REPORTED_EST_BOTTOM_UP">"c5492"</definedName>
    <definedName name="IQ_EPS_REPORTED_EST_BOTTOM_UP_REUT">"c5500"</definedName>
    <definedName name="IQ_EPS_REPORTED_EST_REUT">"c5396"</definedName>
    <definedName name="IQ_EPS_REPORTED_HIGH_EST">"c1746"</definedName>
    <definedName name="IQ_EPS_REPORTED_HIGH_EST_REUT">"c5398"</definedName>
    <definedName name="IQ_EPS_REPORTED_LOW_EST">"c1747"</definedName>
    <definedName name="IQ_EPS_REPORTED_LOW_EST_REUT">"c5399"</definedName>
    <definedName name="IQ_EPS_REPORTED_MEDIAN_EST">"c1745"</definedName>
    <definedName name="IQ_EPS_REPORTED_MEDIAN_EST_REUT">"c5397"</definedName>
    <definedName name="IQ_EPS_REPORTED_NUM_EST">"c1748"</definedName>
    <definedName name="IQ_EPS_REPORTED_NUM_EST_REUT">"c5400"</definedName>
    <definedName name="IQ_EPS_REPORTED_STDDEV_EST">"c1749"</definedName>
    <definedName name="IQ_EPS_REPORTED_STDDEV_EST_REUT">"c5401"</definedName>
    <definedName name="IQ_EPS_SBC_ACT_OR_EST">"c4376"</definedName>
    <definedName name="IQ_EPS_SBC_EST">"c4375"</definedName>
    <definedName name="IQ_EPS_SBC_GUIDANCE">"c4377"</definedName>
    <definedName name="IQ_EPS_SBC_GW_ACT_OR_EST">"c4380"</definedName>
    <definedName name="IQ_EPS_SBC_GW_EST">"c4379"</definedName>
    <definedName name="IQ_EPS_SBC_GW_GUIDANCE">"c4381"</definedName>
    <definedName name="IQ_EPS_SBC_GW_HIGH_EST">"c4382"</definedName>
    <definedName name="IQ_EPS_SBC_GW_HIGH_GUIDANCE">"c4189"</definedName>
    <definedName name="IQ_EPS_SBC_GW_LOW_EST">"c4383"</definedName>
    <definedName name="IQ_EPS_SBC_GW_LOW_GUIDANCE">"c4229"</definedName>
    <definedName name="IQ_EPS_SBC_GW_MEDIAN_EST">"c4384"</definedName>
    <definedName name="IQ_EPS_SBC_GW_NUM_EST">"c4385"</definedName>
    <definedName name="IQ_EPS_SBC_GW_STDDEV_EST">"c4386"</definedName>
    <definedName name="IQ_EPS_SBC_HIGH_EST">"c4388"</definedName>
    <definedName name="IQ_EPS_SBC_HIGH_GUIDANCE">"c4188"</definedName>
    <definedName name="IQ_EPS_SBC_LOW_EST">"c4389"</definedName>
    <definedName name="IQ_EPS_SBC_LOW_GUIDANCE">"c4228"</definedName>
    <definedName name="IQ_EPS_SBC_MEDIAN_EST">"c4390"</definedName>
    <definedName name="IQ_EPS_SBC_NUM_EST">"c4391"</definedName>
    <definedName name="IQ_EPS_SBC_STDDEV_EST">"c4392"</definedName>
    <definedName name="IQ_EPS_STDDEV_EST">"c403"</definedName>
    <definedName name="IQ_EPS_STDDEV_EST_REUT">"c5452"</definedName>
    <definedName name="IQ_EQUITY_AFFIL">"c1451"</definedName>
    <definedName name="IQ_EQUITY_METHOD">"c404"</definedName>
    <definedName name="IQ_EQV_OVER_BV">"c1596"</definedName>
    <definedName name="IQ_EQV_OVER_LTM_PRETAX_INC">"c1390"</definedName>
    <definedName name="IQ_ESOP_DEBT">"c1597"</definedName>
    <definedName name="IQ_EST_ACT_BV">"c5630"</definedName>
    <definedName name="IQ_EST_ACT_BV_SHARE">"c3549"</definedName>
    <definedName name="IQ_EST_ACT_BV_SHARE_REUT">"c5445"</definedName>
    <definedName name="IQ_EST_ACT_CAPEX">"c3546"</definedName>
    <definedName name="IQ_EST_ACT_CAPEX_REUT">"c3975"</definedName>
    <definedName name="IQ_EST_ACT_CASH_EPS">"c5637"</definedName>
    <definedName name="IQ_EST_ACT_CASH_FLOW">"c4394"</definedName>
    <definedName name="IQ_EST_ACT_CASH_OPER">"c4395"</definedName>
    <definedName name="IQ_EST_ACT_CFPS">"c1673"</definedName>
    <definedName name="IQ_EST_ACT_CFPS_REUT">"c3850"</definedName>
    <definedName name="IQ_EST_ACT_DISTRIBUTABLE_CASH">"c4396"</definedName>
    <definedName name="IQ_EST_ACT_DISTRIBUTABLE_CASH_SHARE">"c4397"</definedName>
    <definedName name="IQ_EST_ACT_DPS">"c1680"</definedName>
    <definedName name="IQ_EST_ACT_DPS_REUT">"c3857"</definedName>
    <definedName name="IQ_EST_ACT_EBIT">"c1687"</definedName>
    <definedName name="IQ_EST_ACT_EBIT_GW">"c4398"</definedName>
    <definedName name="IQ_EST_ACT_EBIT_REUT">"c5339"</definedName>
    <definedName name="IQ_EST_ACT_EBIT_SBC">"c4399"</definedName>
    <definedName name="IQ_EST_ACT_EBIT_SBC_GW">"c4400"</definedName>
    <definedName name="IQ_EST_ACT_EBITDA">"c1664"</definedName>
    <definedName name="IQ_EST_ACT_EBITDA_REUT">"c3836"</definedName>
    <definedName name="IQ_EST_ACT_EBITDA_SBC">"c4401"</definedName>
    <definedName name="IQ_EST_ACT_EBT_SBC">"c4402"</definedName>
    <definedName name="IQ_EST_ACT_EBT_SBC_GW">"c4403"</definedName>
    <definedName name="IQ_EST_ACT_EPS">"c1648"</definedName>
    <definedName name="IQ_EST_ACT_EPS_GW">"c1743"</definedName>
    <definedName name="IQ_EST_ACT_EPS_GW_REUT">"c5395"</definedName>
    <definedName name="IQ_EST_ACT_EPS_NORM">"c2232"</definedName>
    <definedName name="IQ_EST_ACT_EPS_NORM_REUT">"c5332"</definedName>
    <definedName name="IQ_EST_ACT_EPS_REPORTED">"c1750"</definedName>
    <definedName name="IQ_EST_ACT_EPS_REPORTED_REUT">"c5402"</definedName>
    <definedName name="IQ_EST_ACT_EPS_REUT">"c5457"</definedName>
    <definedName name="IQ_EST_ACT_EPS_SBC">"c4404"</definedName>
    <definedName name="IQ_EST_ACT_EPS_SBC_GW">"c4405"</definedName>
    <definedName name="IQ_EST_ACT_FFO">"c1666"</definedName>
    <definedName name="IQ_EST_ACT_FFO_ADJ">"c4406"</definedName>
    <definedName name="IQ_EST_ACT_FFO_REUT">"c3843"</definedName>
    <definedName name="IQ_EST_ACT_FFO_SHARE">"c4407"</definedName>
    <definedName name="IQ_EST_ACT_GROSS_MARGIN">"c5553"</definedName>
    <definedName name="IQ_EST_ACT_MAINT_CAPEX">"c4408"</definedName>
    <definedName name="IQ_EST_ACT_NAV">"c1757"</definedName>
    <definedName name="IQ_EST_ACT_NAV_SHARE">"c5608"</definedName>
    <definedName name="IQ_EST_ACT_NAV_SHARE_REUT">"c5616"</definedName>
    <definedName name="IQ_EST_ACT_NET_DEBT">"c3545"</definedName>
    <definedName name="IQ_EST_ACT_NET_DEBT_REUT">"c5446"</definedName>
    <definedName name="IQ_EST_ACT_NI">"c1722"</definedName>
    <definedName name="IQ_EST_ACT_NI_GW">"c1729"</definedName>
    <definedName name="IQ_EST_ACT_NI_GW_REUT">"c5381"</definedName>
    <definedName name="IQ_EST_ACT_NI_REPORTED">"c1736"</definedName>
    <definedName name="IQ_EST_ACT_NI_REPORTED_REUT">"c5388"</definedName>
    <definedName name="IQ_EST_ACT_NI_REUT">"c5374"</definedName>
    <definedName name="IQ_EST_ACT_NI_SBC">"c4409"</definedName>
    <definedName name="IQ_EST_ACT_NI_SBC_GW">"c4410"</definedName>
    <definedName name="IQ_EST_ACT_OPER_INC">"c1694"</definedName>
    <definedName name="IQ_EST_ACT_OPER_INC_REUT">"c5346"</definedName>
    <definedName name="IQ_EST_ACT_PRETAX_GW_INC">"c1708"</definedName>
    <definedName name="IQ_EST_ACT_PRETAX_GW_INC_REUT">"c5360"</definedName>
    <definedName name="IQ_EST_ACT_PRETAX_INC">"c1701"</definedName>
    <definedName name="IQ_EST_ACT_PRETAX_INC_REUT">"c5353"</definedName>
    <definedName name="IQ_EST_ACT_PRETAX_REPORT_INC">"c1715"</definedName>
    <definedName name="IQ_EST_ACT_PRETAX_REPORT_INC_REUT">"c5367"</definedName>
    <definedName name="IQ_EST_ACT_RECURRING_PROFIT">"c4411"</definedName>
    <definedName name="IQ_EST_ACT_RECURRING_PROFIT_SHARE">"c4412"</definedName>
    <definedName name="IQ_EST_ACT_RETURN_ASSETS">"c3547"</definedName>
    <definedName name="IQ_EST_ACT_RETURN_ASSETS_REUT">"c3996"</definedName>
    <definedName name="IQ_EST_ACT_RETURN_EQUITY">"c3548"</definedName>
    <definedName name="IQ_EST_ACT_RETURN_EQUITY_REUT">"c3989"</definedName>
    <definedName name="IQ_EST_ACT_REV">"c2113"</definedName>
    <definedName name="IQ_EST_ACT_REV_REUT">"c3835"</definedName>
    <definedName name="IQ_EST_BV_SHARE_DIFF">"c4147"</definedName>
    <definedName name="IQ_EST_BV_SHARE_SURPRISE_PERCENT">"c4148"</definedName>
    <definedName name="IQ_EST_CAPEX_DIFF">"c4149"</definedName>
    <definedName name="IQ_EST_CAPEX_GROWTH_1YR">"c3588"</definedName>
    <definedName name="IQ_EST_CAPEX_GROWTH_1YR_REUT">"c5447"</definedName>
    <definedName name="IQ_EST_CAPEX_GROWTH_2YR">"c3589"</definedName>
    <definedName name="IQ_EST_CAPEX_GROWTH_2YR_REUT">"c5448"</definedName>
    <definedName name="IQ_EST_CAPEX_GROWTH_Q_1YR">"c3590"</definedName>
    <definedName name="IQ_EST_CAPEX_GROWTH_Q_1YR_REUT">"c5449"</definedName>
    <definedName name="IQ_EST_CAPEX_SEQ_GROWTH_Q">"c3591"</definedName>
    <definedName name="IQ_EST_CAPEX_SEQ_GROWTH_Q_REUT">"c5450"</definedName>
    <definedName name="IQ_EST_CAPEX_SURPRISE_PERCENT">"c4151"</definedName>
    <definedName name="IQ_EST_CASH_FLOW_DIFF">"c4152"</definedName>
    <definedName name="IQ_EST_CASH_FLOW_SURPRISE_PERCENT">"c4161"</definedName>
    <definedName name="IQ_EST_CASH_OPER_DIFF">"c4162"</definedName>
    <definedName name="IQ_EST_CASH_OPER_SURPRISE_PERCENT">"c4248"</definedName>
    <definedName name="IQ_EST_CFPS_DIFF">"c1871"</definedName>
    <definedName name="IQ_EST_CFPS_DIFF_REUT">"c3892"</definedName>
    <definedName name="IQ_EST_CFPS_GROWTH_1YR">"c1774"</definedName>
    <definedName name="IQ_EST_CFPS_GROWTH_1YR_REUT">"c3878"</definedName>
    <definedName name="IQ_EST_CFPS_GROWTH_2YR">"c1775"</definedName>
    <definedName name="IQ_EST_CFPS_GROWTH_2YR_REUT">"c3879"</definedName>
    <definedName name="IQ_EST_CFPS_GROWTH_Q_1YR">"c1776"</definedName>
    <definedName name="IQ_EST_CFPS_GROWTH_Q_1YR_REUT">"c3880"</definedName>
    <definedName name="IQ_EST_CFPS_SEQ_GROWTH_Q">"c1777"</definedName>
    <definedName name="IQ_EST_CFPS_SEQ_GROWTH_Q_REUT">"c3881"</definedName>
    <definedName name="IQ_EST_CFPS_SURPRISE_PERCENT">"c1872"</definedName>
    <definedName name="IQ_EST_CFPS_SURPRISE_PERCENT_REUT">"c3893"</definedName>
    <definedName name="IQ_EST_CURRENCY">"c2140"</definedName>
    <definedName name="IQ_EST_CURRENCY_REUT">"c5437"</definedName>
    <definedName name="IQ_EST_DATE">"c1634"</definedName>
    <definedName name="IQ_EST_DATE_REUT">"c5438"</definedName>
    <definedName name="IQ_EST_DISTRIBUTABLE_CASH_DIFF">"c4276"</definedName>
    <definedName name="IQ_EST_DISTRIBUTABLE_CASH_GROWTH_1YR">"c4413"</definedName>
    <definedName name="IQ_EST_DISTRIBUTABLE_CASH_GROWTH_2YR">"c4414"</definedName>
    <definedName name="IQ_EST_DISTRIBUTABLE_CASH_GROWTH_Q_1YR">"c4415"</definedName>
    <definedName name="IQ_EST_DISTRIBUTABLE_CASH_SEQ_GROWTH_Q">"c4416"</definedName>
    <definedName name="IQ_EST_DISTRIBUTABLE_CASH_SHARE_DIFF">"c4284"</definedName>
    <definedName name="IQ_EST_DISTRIBUTABLE_CASH_SHARE_GROWTH_1YR">"c4417"</definedName>
    <definedName name="IQ_EST_DISTRIBUTABLE_CASH_SHARE_GROWTH_2YR">"c4418"</definedName>
    <definedName name="IQ_EST_DISTRIBUTABLE_CASH_SHARE_GROWTH_Q_1YR">"c4419"</definedName>
    <definedName name="IQ_EST_DISTRIBUTABLE_CASH_SHARE_SEQ_GROWTH_Q">"c4420"</definedName>
    <definedName name="IQ_EST_DISTRIBUTABLE_CASH_SHARE_SURPRISE_PERCENT">"c4293"</definedName>
    <definedName name="IQ_EST_DISTRIBUTABLE_CASH_SURPRISE_PERCENT">"c4295"</definedName>
    <definedName name="IQ_EST_DPS_DIFF">"c1873"</definedName>
    <definedName name="IQ_EST_DPS_DIFF_REUT">"c3894"</definedName>
    <definedName name="IQ_EST_DPS_GROWTH_1YR">"c1778"</definedName>
    <definedName name="IQ_EST_DPS_GROWTH_1YR_REUT">"c3882"</definedName>
    <definedName name="IQ_EST_DPS_GROWTH_2YR">"c1779"</definedName>
    <definedName name="IQ_EST_DPS_GROWTH_2YR_REUT">"c3883"</definedName>
    <definedName name="IQ_EST_DPS_GROWTH_Q_1YR">"c1780"</definedName>
    <definedName name="IQ_EST_DPS_GROWTH_Q_1YR_REUT">"c3884"</definedName>
    <definedName name="IQ_EST_DPS_SEQ_GROWTH_Q">"c1781"</definedName>
    <definedName name="IQ_EST_DPS_SEQ_GROWTH_Q_REUT">"c3885"</definedName>
    <definedName name="IQ_EST_DPS_SURPRISE_PERCENT">"c1874"</definedName>
    <definedName name="IQ_EST_DPS_SURPRISE_PERCENT_REUT">"c3895"</definedName>
    <definedName name="IQ_EST_EBIT_DIFF">"c1875"</definedName>
    <definedName name="IQ_EST_EBIT_DIFF_REUT">"c5413"</definedName>
    <definedName name="IQ_EST_EBIT_GW_DIFF">"c4304"</definedName>
    <definedName name="IQ_EST_EBIT_GW_SURPRISE_PERCENT">"c4313"</definedName>
    <definedName name="IQ_EST_EBIT_SBC_DIFF">"c4314"</definedName>
    <definedName name="IQ_EST_EBIT_SBC_GW_DIFF">"c4318"</definedName>
    <definedName name="IQ_EST_EBIT_SBC_GW_SURPRISE_PERCENT">"c4327"</definedName>
    <definedName name="IQ_EST_EBIT_SBC_SURPRISE_PERCENT">"c4333"</definedName>
    <definedName name="IQ_EST_EBIT_SURPRISE_PERCENT">"c1876"</definedName>
    <definedName name="IQ_EST_EBIT_SURPRISE_PERCENT_REUT">"c5414"</definedName>
    <definedName name="IQ_EST_EBITDA_DIFF">"c1867"</definedName>
    <definedName name="IQ_EST_EBITDA_DIFF_REUT">"c3888"</definedName>
    <definedName name="IQ_EST_EBITDA_GROWTH_1YR">"c1766"</definedName>
    <definedName name="IQ_EST_EBITDA_GROWTH_1YR_REUT">"c3864"</definedName>
    <definedName name="IQ_EST_EBITDA_GROWTH_2YR">"c1767"</definedName>
    <definedName name="IQ_EST_EBITDA_GROWTH_2YR_REUT">"c3865"</definedName>
    <definedName name="IQ_EST_EBITDA_GROWTH_Q_1YR">"c1768"</definedName>
    <definedName name="IQ_EST_EBITDA_GROWTH_Q_1YR_REUT">"c3866"</definedName>
    <definedName name="IQ_EST_EBITDA_SBC_DIFF">"c4335"</definedName>
    <definedName name="IQ_EST_EBITDA_SBC_SURPRISE_PERCENT">"c4344"</definedName>
    <definedName name="IQ_EST_EBITDA_SEQ_GROWTH_Q">"c1769"</definedName>
    <definedName name="IQ_EST_EBITDA_SEQ_GROWTH_Q_REUT">"c3867"</definedName>
    <definedName name="IQ_EST_EBITDA_SURPRISE_PERCENT">"c1868"</definedName>
    <definedName name="IQ_EST_EBITDA_SURPRISE_PERCENT_REUT">"c3889"</definedName>
    <definedName name="IQ_EST_EBT_SBC_DIFF">"c4348"</definedName>
    <definedName name="IQ_EST_EBT_SBC_GW_DIFF">"c4352"</definedName>
    <definedName name="IQ_EST_EBT_SBC_GW_SURPRISE_PERCENT">"c4361"</definedName>
    <definedName name="IQ_EST_EBT_SBC_SURPRISE_PERCENT">"c4367"</definedName>
    <definedName name="IQ_EST_EPS_DIFF">"c1864"</definedName>
    <definedName name="IQ_EST_EPS_DIFF_REUT">"c5458"</definedName>
    <definedName name="IQ_EST_EPS_GROWTH_1YR">"c1636"</definedName>
    <definedName name="IQ_EST_EPS_GROWTH_1YR_REUT">"c3646"</definedName>
    <definedName name="IQ_EST_EPS_GROWTH_2YR">"c1637"</definedName>
    <definedName name="IQ_EST_EPS_GROWTH_2YR_REUT">"c3858"</definedName>
    <definedName name="IQ_EST_EPS_GROWTH_5YR">"c1655"</definedName>
    <definedName name="IQ_EST_EPS_GROWTH_5YR_BOTTOM_UP">"c5487"</definedName>
    <definedName name="IQ_EST_EPS_GROWTH_5YR_BOTTOM_UP_REUT">"c5495"</definedName>
    <definedName name="IQ_EST_EPS_GROWTH_5YR_HIGH">"c1657"</definedName>
    <definedName name="IQ_EST_EPS_GROWTH_5YR_HIGH_REUT">"c5322"</definedName>
    <definedName name="IQ_EST_EPS_GROWTH_5YR_LOW">"c1658"</definedName>
    <definedName name="IQ_EST_EPS_GROWTH_5YR_LOW_REUT">"c5323"</definedName>
    <definedName name="IQ_EST_EPS_GROWTH_5YR_MEDIAN">"c1656"</definedName>
    <definedName name="IQ_EST_EPS_GROWTH_5YR_MEDIAN_REUT">"c5321"</definedName>
    <definedName name="IQ_EST_EPS_GROWTH_5YR_NUM">"c1659"</definedName>
    <definedName name="IQ_EST_EPS_GROWTH_5YR_NUM_REUT">"c5324"</definedName>
    <definedName name="IQ_EST_EPS_GROWTH_5YR_REUT">"c3633"</definedName>
    <definedName name="IQ_EST_EPS_GROWTH_5YR_STDDEV">"c1660"</definedName>
    <definedName name="IQ_EST_EPS_GROWTH_5YR_STDDEV_REUT">"c5325"</definedName>
    <definedName name="IQ_EST_EPS_GROWTH_Q_1YR">"c1641"</definedName>
    <definedName name="IQ_EST_EPS_GROWTH_Q_1YR_REUT">"c5410"</definedName>
    <definedName name="IQ_EST_EPS_GW_DIFF">"c1891"</definedName>
    <definedName name="IQ_EST_EPS_GW_DIFF_REUT">"c5429"</definedName>
    <definedName name="IQ_EST_EPS_GW_SURPRISE_PERCENT">"c1892"</definedName>
    <definedName name="IQ_EST_EPS_GW_SURPRISE_PERCENT_REUT">"c5430"</definedName>
    <definedName name="IQ_EST_EPS_NORM_DIFF">"c2247"</definedName>
    <definedName name="IQ_EST_EPS_NORM_DIFF_REUT">"c5411"</definedName>
    <definedName name="IQ_EST_EPS_NORM_SURPRISE_PERCENT">"c2248"</definedName>
    <definedName name="IQ_EST_EPS_NORM_SURPRISE_PERCENT_REUT">"c5412"</definedName>
    <definedName name="IQ_EST_EPS_REPORT_DIFF">"c1893"</definedName>
    <definedName name="IQ_EST_EPS_REPORT_DIFF_REUT">"c5431"</definedName>
    <definedName name="IQ_EST_EPS_REPORT_SURPRISE_PERCENT">"c1894"</definedName>
    <definedName name="IQ_EST_EPS_REPORT_SURPRISE_PERCENT_REUT">"c5432"</definedName>
    <definedName name="IQ_EST_EPS_SBC_DIFF">"c4374"</definedName>
    <definedName name="IQ_EST_EPS_SBC_GW_DIFF">"c4378"</definedName>
    <definedName name="IQ_EST_EPS_SBC_GW_SURPRISE_PERCENT">"c4387"</definedName>
    <definedName name="IQ_EST_EPS_SBC_SURPRISE_PERCENT">"c4393"</definedName>
    <definedName name="IQ_EST_EPS_SEQ_GROWTH_Q">"c1764"</definedName>
    <definedName name="IQ_EST_EPS_SEQ_GROWTH_Q_REUT">"c3859"</definedName>
    <definedName name="IQ_EST_EPS_SURPRISE_PERCENT">"c1635"</definedName>
    <definedName name="IQ_EST_EPS_SURPRISE_PERCENT_REUT">"c5459"</definedName>
    <definedName name="IQ_EST_FFO_ADJ_DIFF">"c4433"</definedName>
    <definedName name="IQ_EST_FFO_ADJ_GROWTH_1YR">"c4421"</definedName>
    <definedName name="IQ_EST_FFO_ADJ_GROWTH_2YR">"c4422"</definedName>
    <definedName name="IQ_EST_FFO_ADJ_GROWTH_Q_1YR">"c4423"</definedName>
    <definedName name="IQ_EST_FFO_ADJ_SEQ_GROWTH_Q">"c4424"</definedName>
    <definedName name="IQ_EST_FFO_ADJ_SURPRISE_PERCENT">"c4442"</definedName>
    <definedName name="IQ_EST_FFO_DIFF">"c1869"</definedName>
    <definedName name="IQ_EST_FFO_DIFF_REUT">"c3890"</definedName>
    <definedName name="IQ_EST_FFO_GROWTH_1YR">"c1770"</definedName>
    <definedName name="IQ_EST_FFO_GROWTH_1YR_REUT">"c3874"</definedName>
    <definedName name="IQ_EST_FFO_GROWTH_2YR">"c1771"</definedName>
    <definedName name="IQ_EST_FFO_GROWTH_2YR_REUT">"c3875"</definedName>
    <definedName name="IQ_EST_FFO_GROWTH_Q_1YR">"c1772"</definedName>
    <definedName name="IQ_EST_FFO_GROWTH_Q_1YR_REUT">"c3876"</definedName>
    <definedName name="IQ_EST_FFO_SEQ_GROWTH_Q">"c1773"</definedName>
    <definedName name="IQ_EST_FFO_SEQ_GROWTH_Q_REUT">"c3877"</definedName>
    <definedName name="IQ_EST_FFO_SHARE_DIFF">"c4444"</definedName>
    <definedName name="IQ_EST_FFO_SHARE_GROWTH_1YR">"c4425"</definedName>
    <definedName name="IQ_EST_FFO_SHARE_GROWTH_2YR">"c4426"</definedName>
    <definedName name="IQ_EST_FFO_SHARE_GROWTH_Q_1YR">"c4427"</definedName>
    <definedName name="IQ_EST_FFO_SHARE_SEQ_GROWTH_Q">"c4428"</definedName>
    <definedName name="IQ_EST_FFO_SHARE_SURPRISE_PERCENT">"c4453"</definedName>
    <definedName name="IQ_EST_FFO_SURPRISE_PERCENT">"c1870"</definedName>
    <definedName name="IQ_EST_FFO_SURPRISE_PERCENT_REUT">"c3891"</definedName>
    <definedName name="IQ_EST_FOOTNOTE">"c4540"</definedName>
    <definedName name="IQ_EST_FOOTNOTE_REUT">"c5478"</definedName>
    <definedName name="IQ_EST_MAINT_CAPEX_DIFF">"c4456"</definedName>
    <definedName name="IQ_EST_MAINT_CAPEX_GROWTH_1YR">"c4429"</definedName>
    <definedName name="IQ_EST_MAINT_CAPEX_GROWTH_2YR">"c4430"</definedName>
    <definedName name="IQ_EST_MAINT_CAPEX_GROWTH_Q_1YR">"c4431"</definedName>
    <definedName name="IQ_EST_MAINT_CAPEX_SEQ_GROWTH_Q">"c4432"</definedName>
    <definedName name="IQ_EST_MAINT_CAPEX_SURPRISE_PERCENT">"c4465"</definedName>
    <definedName name="IQ_EST_NAV_DIFF">"c1895"</definedName>
    <definedName name="IQ_EST_NAV_SHARE_SURPRISE_PERCENT">"c1896"</definedName>
    <definedName name="IQ_EST_NAV_SURPRISE_PERCENT">"c1896"</definedName>
    <definedName name="IQ_EST_NET_DEBT_DIFF">"c4466"</definedName>
    <definedName name="IQ_EST_NET_DEBT_SURPRISE_PERCENT">"c4468"</definedName>
    <definedName name="IQ_EST_NI_DIFF">"c1885"</definedName>
    <definedName name="IQ_EST_NI_DIFF_REUT">"c5423"</definedName>
    <definedName name="IQ_EST_NI_GW_DIFF">"c1887"</definedName>
    <definedName name="IQ_EST_NI_GW_DIFF_REUT">"c5425"</definedName>
    <definedName name="IQ_EST_NI_GW_SURPRISE_PERCENT">"c1888"</definedName>
    <definedName name="IQ_EST_NI_GW_SURPRISE_PERCENT_REUT">"c5426"</definedName>
    <definedName name="IQ_EST_NI_REPORT_DIFF">"c1889"</definedName>
    <definedName name="IQ_EST_NI_REPORT_DIFF_REUT">"c5427"</definedName>
    <definedName name="IQ_EST_NI_REPORT_SURPRISE_PERCENT">"c1890"</definedName>
    <definedName name="IQ_EST_NI_REPORT_SURPRISE_PERCENT_REUT">"c5428"</definedName>
    <definedName name="IQ_EST_NI_SBC_DIFF">"c4472"</definedName>
    <definedName name="IQ_EST_NI_SBC_GW_DIFF">"c4476"</definedName>
    <definedName name="IQ_EST_NI_SBC_GW_SURPRISE_PERCENT">"c4485"</definedName>
    <definedName name="IQ_EST_NI_SBC_SURPRISE_PERCENT">"c4491"</definedName>
    <definedName name="IQ_EST_NI_SURPRISE_PERCENT">"c1886"</definedName>
    <definedName name="IQ_EST_NI_SURPRISE_PERCENT_REUT">"c5424"</definedName>
    <definedName name="IQ_EST_NUM_BUY">"c1759"</definedName>
    <definedName name="IQ_EST_NUM_HIGH_REC">"c5649"</definedName>
    <definedName name="IQ_EST_NUM_HIGH_REC_REUT">"c3870"</definedName>
    <definedName name="IQ_EST_NUM_HIGHEST_REC">"c5648"</definedName>
    <definedName name="IQ_EST_NUM_HIGHEST_REC_REUT">"c3869"</definedName>
    <definedName name="IQ_EST_NUM_HOLD">"c1761"</definedName>
    <definedName name="IQ_EST_NUM_LOW_REC">"c5651"</definedName>
    <definedName name="IQ_EST_NUM_LOW_REC_REUT">"c3872"</definedName>
    <definedName name="IQ_EST_NUM_LOWEST_REC">"c5652"</definedName>
    <definedName name="IQ_EST_NUM_LOWEST_REC_REUT">"c3873"</definedName>
    <definedName name="IQ_EST_NUM_NEUTRAL_REC">"c5650"</definedName>
    <definedName name="IQ_EST_NUM_NEUTRAL_REC_REUT">"c3871"</definedName>
    <definedName name="IQ_EST_NUM_NO_OPINION">"c1758"</definedName>
    <definedName name="IQ_EST_NUM_NO_OPINION_REUT">"c3868"</definedName>
    <definedName name="IQ_EST_NUM_OUTPERFORM">"c1760"</definedName>
    <definedName name="IQ_EST_NUM_SELL">"c1763"</definedName>
    <definedName name="IQ_EST_NUM_UNDERPERFORM">"c1762"</definedName>
    <definedName name="IQ_EST_OPER_INC_DIFF">"c1877"</definedName>
    <definedName name="IQ_EST_OPER_INC_DIFF_REUT">"c5415"</definedName>
    <definedName name="IQ_EST_OPER_INC_SURPRISE_PERCENT">"c1878"</definedName>
    <definedName name="IQ_EST_OPER_INC_SURPRISE_PERCENT_REUT">"c5416"</definedName>
    <definedName name="IQ_EST_PRE_TAX_DIFF">"c1879"</definedName>
    <definedName name="IQ_EST_PRE_TAX_DIFF_REUT">"c5417"</definedName>
    <definedName name="IQ_EST_PRE_TAX_GW_DIFF">"c1881"</definedName>
    <definedName name="IQ_EST_PRE_TAX_GW_DIFF_REUT">"c5419"</definedName>
    <definedName name="IQ_EST_PRE_TAX_GW_SURPRISE_PERCENT">"c1882"</definedName>
    <definedName name="IQ_EST_PRE_TAX_GW_SURPRISE_PERCENT_REUT">"c5420"</definedName>
    <definedName name="IQ_EST_PRE_TAX_REPORT_DIFF">"c1883"</definedName>
    <definedName name="IQ_EST_PRE_TAX_REPORT_DIFF_REUT">"c5421"</definedName>
    <definedName name="IQ_EST_PRE_TAX_REPORT_SURPRISE_PERCENT">"c1884"</definedName>
    <definedName name="IQ_EST_PRE_TAX_REPORT_SURPRISE_PERCENT_REUT">"c5422"</definedName>
    <definedName name="IQ_EST_PRE_TAX_SURPRISE_PERCENT">"c1880"</definedName>
    <definedName name="IQ_EST_PRE_TAX_SURPRISE_PERCENT_REUT">"c5418"</definedName>
    <definedName name="IQ_EST_RECURRING_PROFIT_SHARE_DIFF">"c4505"</definedName>
    <definedName name="IQ_EST_RECURRING_PROFIT_SHARE_SURPRISE_PERCENT">"c4515"</definedName>
    <definedName name="IQ_EST_REV_DIFF">"c1865"</definedName>
    <definedName name="IQ_EST_REV_DIFF_REUT">"c3886"</definedName>
    <definedName name="IQ_EST_REV_GROWTH_1YR">"c1638"</definedName>
    <definedName name="IQ_EST_REV_GROWTH_1YR_REUT">"c3860"</definedName>
    <definedName name="IQ_EST_REV_GROWTH_2YR">"c1639"</definedName>
    <definedName name="IQ_EST_REV_GROWTH_2YR_REUT">"c3861"</definedName>
    <definedName name="IQ_EST_REV_GROWTH_Q_1YR">"c1640"</definedName>
    <definedName name="IQ_EST_REV_GROWTH_Q_1YR_REUT">"c3862"</definedName>
    <definedName name="IQ_EST_REV_SEQ_GROWTH_Q">"c1765"</definedName>
    <definedName name="IQ_EST_REV_SEQ_GROWTH_Q_REUT">"c3863"</definedName>
    <definedName name="IQ_EST_REV_SURPRISE_PERCENT">"c1866"</definedName>
    <definedName name="IQ_EST_REV_SURPRISE_PERCENT_REUT">"c3887"</definedName>
    <definedName name="IQ_EST_VENDOR">"c5564"</definedName>
    <definedName name="IQ_EV_OVER_EMPLOYEE">"c1428"</definedName>
    <definedName name="IQ_EV_OVER_LTM_EBIT">"c1426"</definedName>
    <definedName name="IQ_EV_OVER_LTM_EBITDA">"c1427"</definedName>
    <definedName name="IQ_EV_OVER_LTM_REVENUE">"c1429"</definedName>
    <definedName name="IQ_EVAL_DATE">"c2180"</definedName>
    <definedName name="IQ_EXCHANGE">"c405"</definedName>
    <definedName name="IQ_EXCISE_TAXES_EXCL_SALES">"c5515"</definedName>
    <definedName name="IQ_EXCISE_TAXES_INCL_SALES">"c5514"</definedName>
    <definedName name="IQ_EXERCISE_PRICE">"c1897"</definedName>
    <definedName name="IQ_EXERCISED">"c406"</definedName>
    <definedName name="IQ_EXP_RETURN_PENSION_DOMESTIC">"c407"</definedName>
    <definedName name="IQ_EXP_RETURN_PENSION_FOREIGN">"c408"</definedName>
    <definedName name="IQ_EXPENSE_CODE_">111</definedName>
    <definedName name="IQ_EXPLORE_DRILL">"c409"</definedName>
    <definedName name="IQ_EXPORTS_APR_FC_UNUSED_UNUSED_UNUSED">"c8401"</definedName>
    <definedName name="IQ_EXPORTS_APR_UNUSED_UNUSED_UNUSED">"c7521"</definedName>
    <definedName name="IQ_EXPORTS_FC_UNUSED_UNUSED_UNUSED">"c7741"</definedName>
    <definedName name="IQ_EXPORTS_GOODS_REAL_SAAR_APR_FC_UNUSED_UNUSED_UNUSED">"c8512"</definedName>
    <definedName name="IQ_EXPORTS_GOODS_REAL_SAAR_APR_UNUSED_UNUSED_UNUSED">"c7632"</definedName>
    <definedName name="IQ_EXPORTS_GOODS_REAL_SAAR_FC_UNUSED_UNUSED_UNUSED">"c7852"</definedName>
    <definedName name="IQ_EXPORTS_GOODS_REAL_SAAR_POP_FC_UNUSED_UNUSED_UNUSED">"c8072"</definedName>
    <definedName name="IQ_EXPORTS_GOODS_REAL_SAAR_POP_UNUSED_UNUSED_UNUSED">"c7192"</definedName>
    <definedName name="IQ_EXPORTS_GOODS_REAL_SAAR_UNUSED_UNUSED_UNUSED">"c6972"</definedName>
    <definedName name="IQ_EXPORTS_GOODS_REAL_SAAR_YOY_FC_UNUSED_UNUSED_UNUSED">"c8292"</definedName>
    <definedName name="IQ_EXPORTS_GOODS_REAL_SAAR_YOY_UNUSED_UNUSED_UNUSED">"c7412"</definedName>
    <definedName name="IQ_EXPORTS_POP_FC_UNUSED_UNUSED_UNUSED">"c7961"</definedName>
    <definedName name="IQ_EXPORTS_POP_UNUSED_UNUSED_UNUSED">"c7081"</definedName>
    <definedName name="IQ_EXPORTS_SERVICES_REAL_SAAR_APR_FC_UNUSED_UNUSED_UNUSED">"c8516"</definedName>
    <definedName name="IQ_EXPORTS_SERVICES_REAL_SAAR_APR_UNUSED_UNUSED_UNUSED">"c7636"</definedName>
    <definedName name="IQ_EXPORTS_SERVICES_REAL_SAAR_FC_UNUSED_UNUSED_UNUSED">"c7856"</definedName>
    <definedName name="IQ_EXPORTS_SERVICES_REAL_SAAR_POP_FC_UNUSED_UNUSED_UNUSED">"c8076"</definedName>
    <definedName name="IQ_EXPORTS_SERVICES_REAL_SAAR_POP_UNUSED_UNUSED_UNUSED">"c7196"</definedName>
    <definedName name="IQ_EXPORTS_SERVICES_REAL_SAAR_UNUSED_UNUSED_UNUSED">"c6976"</definedName>
    <definedName name="IQ_EXPORTS_SERVICES_REAL_SAAR_YOY_FC_UNUSED_UNUSED_UNUSED">"c8296"</definedName>
    <definedName name="IQ_EXPORTS_SERVICES_REAL_SAAR_YOY_UNUSED_UNUSED_UNUSED">"c7416"</definedName>
    <definedName name="IQ_EXPORTS_UNUSED_UNUSED_UNUSED">"c6861"</definedName>
    <definedName name="IQ_EXPORTS_YOY_FC_UNUSED_UNUSED_UNUSED">"c8181"</definedName>
    <definedName name="IQ_EXPORTS_YOY_UNUSED_UNUSED_UNUSED">"c7301"</definedName>
    <definedName name="IQ_EXTRA_ACC_ITEMS">"c410"</definedName>
    <definedName name="IQ_EXTRA_ACC_ITEMS_BNK">"c411"</definedName>
    <definedName name="IQ_EXTRA_ACC_ITEMS_BR">"c412"</definedName>
    <definedName name="IQ_EXTRA_ACC_ITEMS_FIN">"c413"</definedName>
    <definedName name="IQ_EXTRA_ACC_ITEMS_INS">"c414"</definedName>
    <definedName name="IQ_EXTRA_ACC_ITEMS_REIT">"c415"</definedName>
    <definedName name="IQ_EXTRA_ACC_ITEMS_UTI">"c416"</definedName>
    <definedName name="IQ_EXTRA_ITEMS">"c1459"</definedName>
    <definedName name="IQ_FDIC">"c417"</definedName>
    <definedName name="IQ_FEDFUNDS_SOLD">"c2256"</definedName>
    <definedName name="IQ_FFO">"c1574"</definedName>
    <definedName name="IQ_FFO_ACT_OR_EST">"c2216"</definedName>
    <definedName name="IQ_FFO_ADJ_ACT_OR_EST">"c4435"</definedName>
    <definedName name="IQ_FFO_ADJ_EST">"c4434"</definedName>
    <definedName name="IQ_FFO_ADJ_GUIDANCE">"c4436"</definedName>
    <definedName name="IQ_FFO_ADJ_HIGH_EST">"c4437"</definedName>
    <definedName name="IQ_FFO_ADJ_HIGH_GUIDANCE">"c4202"</definedName>
    <definedName name="IQ_FFO_ADJ_LOW_EST">"c4438"</definedName>
    <definedName name="IQ_FFO_ADJ_LOW_GUIDANCE">"c4242"</definedName>
    <definedName name="IQ_FFO_ADJ_MEDIAN_EST">"c4439"</definedName>
    <definedName name="IQ_FFO_ADJ_NUM_EST">"c4440"</definedName>
    <definedName name="IQ_FFO_ADJ_STDDEV_EST">"c4441"</definedName>
    <definedName name="IQ_FFO_EST">"c418"</definedName>
    <definedName name="IQ_FFO_EST_REUT">"c3837"</definedName>
    <definedName name="IQ_FFO_GUIDANCE">"c4443"</definedName>
    <definedName name="IQ_FFO_HIGH_EST">"c419"</definedName>
    <definedName name="IQ_FFO_HIGH_EST_REUT">"c3839"</definedName>
    <definedName name="IQ_FFO_HIGH_GUIDANCE">"c4184"</definedName>
    <definedName name="IQ_FFO_LOW_EST">"c420"</definedName>
    <definedName name="IQ_FFO_LOW_EST_REUT">"c3840"</definedName>
    <definedName name="IQ_FFO_LOW_GUIDANCE">"c4224"</definedName>
    <definedName name="IQ_FFO_MEDIAN_EST">"c1665"</definedName>
    <definedName name="IQ_FFO_MEDIAN_EST_REUT">"c3838"</definedName>
    <definedName name="IQ_FFO_NUM_EST">"c421"</definedName>
    <definedName name="IQ_FFO_NUM_EST_REUT">"c3841"</definedName>
    <definedName name="IQ_FFO_PAYOUT_RATIO">"c3492"</definedName>
    <definedName name="IQ_FFO_SHARE_ACT_OR_EST">"c4446"</definedName>
    <definedName name="IQ_FFO_SHARE_EST">"c4445"</definedName>
    <definedName name="IQ_FFO_SHARE_GUIDANCE">"c4447"</definedName>
    <definedName name="IQ_FFO_SHARE_HIGH_EST">"c4448"</definedName>
    <definedName name="IQ_FFO_SHARE_HIGH_GUIDANCE">"c4203"</definedName>
    <definedName name="IQ_FFO_SHARE_LOW_EST">"c4449"</definedName>
    <definedName name="IQ_FFO_SHARE_LOW_GUIDANCE">"c4243"</definedName>
    <definedName name="IQ_FFO_SHARE_MEDIAN_EST">"c4450"</definedName>
    <definedName name="IQ_FFO_SHARE_NUM_EST">"c4451"</definedName>
    <definedName name="IQ_FFO_SHARE_STDDEV_EST">"c4452"</definedName>
    <definedName name="IQ_FFO_STDDEV_EST">"c422"</definedName>
    <definedName name="IQ_FFO_STDDEV_EST_REUT">"c3842"</definedName>
    <definedName name="IQ_FH">100000</definedName>
    <definedName name="IQ_FHLB_DEBT">"c423"</definedName>
    <definedName name="IQ_FHLB_DUE_CY">"c2080"</definedName>
    <definedName name="IQ_FHLB_DUE_CY1">"c2081"</definedName>
    <definedName name="IQ_FHLB_DUE_CY2">"c2082"</definedName>
    <definedName name="IQ_FHLB_DUE_CY3">"c2083"</definedName>
    <definedName name="IQ_FHLB_DUE_CY4">"c2084"</definedName>
    <definedName name="IQ_FHLB_DUE_NEXT_FIVE">"c2085"</definedName>
    <definedName name="IQ_FILING_CURRENCY">"c2129"</definedName>
    <definedName name="IQ_FILINGDATE_BS">"c424"</definedName>
    <definedName name="IQ_FILINGDATE_CF">"c425"</definedName>
    <definedName name="IQ_FILINGDATE_IS">"c426"</definedName>
    <definedName name="IQ_FILM_RIGHTS">"c2254"</definedName>
    <definedName name="IQ_FIN_DIV_ASSETS_CURRENT">"c427"</definedName>
    <definedName name="IQ_FIN_DIV_ASSETS_LT">"c428"</definedName>
    <definedName name="IQ_FIN_DIV_DEBT_CURRENT">"c429"</definedName>
    <definedName name="IQ_FIN_DIV_DEBT_LT">"c430"</definedName>
    <definedName name="IQ_FIN_DIV_DEBT_TOTAL">"c5656"</definedName>
    <definedName name="IQ_FIN_DIV_EXP">"c431"</definedName>
    <definedName name="IQ_FIN_DIV_INT_EXP">"c432"</definedName>
    <definedName name="IQ_FIN_DIV_LIAB_CURRENT">"c433"</definedName>
    <definedName name="IQ_FIN_DIV_LIAB_LT">"c434"</definedName>
    <definedName name="IQ_FIN_DIV_LOANS_CURRENT">"c435"</definedName>
    <definedName name="IQ_FIN_DIV_LOANS_LT">"c436"</definedName>
    <definedName name="IQ_FIN_DIV_LT_DEBT_TOTAL">"c5655"</definedName>
    <definedName name="IQ_FIN_DIV_REV">"c437"</definedName>
    <definedName name="IQ_FIN_DIV_ST_DEBT_TOTAL">"c5527"</definedName>
    <definedName name="IQ_FINANCING_CASH">"c1405"</definedName>
    <definedName name="IQ_FINANCING_CASH_SUPPL">"c1406"</definedName>
    <definedName name="IQ_FINISHED_INV">"c438"</definedName>
    <definedName name="IQ_FIRST_INT_DATE">"c2186"</definedName>
    <definedName name="IQ_FIRST_YEAR_LIFE">"c439"</definedName>
    <definedName name="IQ_FIRST_YEAR_LIFE_PREM">"c2787"</definedName>
    <definedName name="IQ_FIRST_YEAR_PREM">"c2786"</definedName>
    <definedName name="IQ_FIRSTPRICINGDATE">"c3050"</definedName>
    <definedName name="IQ_FISCAL_Q">"c440"</definedName>
    <definedName name="IQ_FISCAL_Y">"c441"</definedName>
    <definedName name="IQ_FIVE_PERCENT_OWNER">"c442"</definedName>
    <definedName name="IQ_FIVEPERCENT_PERCENT">"c443"</definedName>
    <definedName name="IQ_FIVEPERCENT_SHARES">"c444"</definedName>
    <definedName name="IQ_FIXED_ASSET_TURNS">"c445"</definedName>
    <definedName name="IQ_FIXED_INVEST_APR_FC_UNUSED_UNUSED_UNUSED">"c8410"</definedName>
    <definedName name="IQ_FIXED_INVEST_APR_UNUSED_UNUSED_UNUSED">"c7530"</definedName>
    <definedName name="IQ_FIXED_INVEST_FC_UNUSED_UNUSED_UNUSED">"c7750"</definedName>
    <definedName name="IQ_FIXED_INVEST_POP_FC_UNUSED_UNUSED_UNUSED">"c7970"</definedName>
    <definedName name="IQ_FIXED_INVEST_POP_UNUSED_UNUSED_UNUSED">"c7090"</definedName>
    <definedName name="IQ_FIXED_INVEST_REAL_APR_FC_UNUSED_UNUSED_UNUSED">"c8518"</definedName>
    <definedName name="IQ_FIXED_INVEST_REAL_APR_UNUSED_UNUSED_UNUSED">"c7638"</definedName>
    <definedName name="IQ_FIXED_INVEST_REAL_FC_UNUSED_UNUSED_UNUSED">"c7858"</definedName>
    <definedName name="IQ_FIXED_INVEST_REAL_POP_FC_UNUSED_UNUSED_UNUSED">"c8078"</definedName>
    <definedName name="IQ_FIXED_INVEST_REAL_POP_UNUSED_UNUSED_UNUSED">"c7198"</definedName>
    <definedName name="IQ_FIXED_INVEST_REAL_UNUSED_UNUSED_UNUSED">"c6978"</definedName>
    <definedName name="IQ_FIXED_INVEST_REAL_YOY_FC_UNUSED_UNUSED_UNUSED">"c8298"</definedName>
    <definedName name="IQ_FIXED_INVEST_REAL_YOY_UNUSED_UNUSED_UNUSED">"c7418"</definedName>
    <definedName name="IQ_FIXED_INVEST_UNUSED_UNUSED_UNUSED">"c6870"</definedName>
    <definedName name="IQ_FIXED_INVEST_YOY_FC_UNUSED_UNUSED_UNUSED">"c8190"</definedName>
    <definedName name="IQ_FIXED_INVEST_YOY_UNUSED_UNUSED_UNUSED">"c7310"</definedName>
    <definedName name="IQ_FLOAT_PERCENT">"c1575"</definedName>
    <definedName name="IQ_FOREIGN_BRANCHES_U.S._BANKS_LOANS_FDIC">"c6438"</definedName>
    <definedName name="IQ_FOREIGN_DEP_IB">"c446"</definedName>
    <definedName name="IQ_FOREIGN_DEP_NON_IB">"c447"</definedName>
    <definedName name="IQ_FOREIGN_EXCHANGE">"c1376"</definedName>
    <definedName name="IQ_FOREIGN_LOANS">"c448"</definedName>
    <definedName name="IQ_FQ">500</definedName>
    <definedName name="IQ_FUEL">"c449"</definedName>
    <definedName name="IQ_FULL_TIME">"c450"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X">"c451"</definedName>
    <definedName name="IQ_FY">1000</definedName>
    <definedName name="IQ_GA_EXP">"c2241"</definedName>
    <definedName name="IQ_GAIN_ASSETS">"c452"</definedName>
    <definedName name="IQ_GAIN_ASSETS_BNK">"c453"</definedName>
    <definedName name="IQ_GAIN_ASSETS_BR">"c454"</definedName>
    <definedName name="IQ_GAIN_ASSETS_CF">"c455"</definedName>
    <definedName name="IQ_GAIN_ASSETS_CF_BNK">"c456"</definedName>
    <definedName name="IQ_GAIN_ASSETS_CF_BR">"c457"</definedName>
    <definedName name="IQ_GAIN_ASSETS_CF_FIN">"c458"</definedName>
    <definedName name="IQ_GAIN_ASSETS_CF_INS">"c459"</definedName>
    <definedName name="IQ_GAIN_ASSETS_CF_REIT">"c460"</definedName>
    <definedName name="IQ_GAIN_ASSETS_CF_UTI">"c461"</definedName>
    <definedName name="IQ_GAIN_ASSETS_FIN">"c462"</definedName>
    <definedName name="IQ_GAIN_ASSETS_INS">"c463"</definedName>
    <definedName name="IQ_GAIN_ASSETS_REIT">"c471"</definedName>
    <definedName name="IQ_GAIN_ASSETS_REV">"c472"</definedName>
    <definedName name="IQ_GAIN_ASSETS_REV_BNK">"c473"</definedName>
    <definedName name="IQ_GAIN_ASSETS_REV_BR">"c474"</definedName>
    <definedName name="IQ_GAIN_ASSETS_REV_FIN">"c475"</definedName>
    <definedName name="IQ_GAIN_ASSETS_REV_INS">"c476"</definedName>
    <definedName name="IQ_GAIN_ASSETS_REV_REIT">"c477"</definedName>
    <definedName name="IQ_GAIN_ASSETS_REV_UTI">"c478"</definedName>
    <definedName name="IQ_GAIN_ASSETS_UTI">"c479"</definedName>
    <definedName name="IQ_GAIN_INVEST">"c1463"</definedName>
    <definedName name="IQ_GAIN_INVEST_BNK">"c1582"</definedName>
    <definedName name="IQ_GAIN_INVEST_BR">"c1464"</definedName>
    <definedName name="IQ_GAIN_INVEST_CF">"c480"</definedName>
    <definedName name="IQ_GAIN_INVEST_CF_BNK">"c481"</definedName>
    <definedName name="IQ_GAIN_INVEST_CF_BR">"c482"</definedName>
    <definedName name="IQ_GAIN_INVEST_CF_FIN">"c483"</definedName>
    <definedName name="IQ_GAIN_INVEST_CF_INS">"c484"</definedName>
    <definedName name="IQ_GAIN_INVEST_CF_REIT">"c485"</definedName>
    <definedName name="IQ_GAIN_INVEST_CF_UTI">"c486"</definedName>
    <definedName name="IQ_GAIN_INVEST_FIN">"c1465"</definedName>
    <definedName name="IQ_GAIN_INVEST_INS">"c1466"</definedName>
    <definedName name="IQ_GAIN_INVEST_REIT">"c1467"</definedName>
    <definedName name="IQ_GAIN_INVEST_REV">"c494"</definedName>
    <definedName name="IQ_GAIN_INVEST_REV_BNK">"c495"</definedName>
    <definedName name="IQ_GAIN_INVEST_REV_BR">"c496"</definedName>
    <definedName name="IQ_GAIN_INVEST_REV_FIN">"c497"</definedName>
    <definedName name="IQ_GAIN_INVEST_REV_INS">"c498"</definedName>
    <definedName name="IQ_GAIN_INVEST_REV_REIT">"c499"</definedName>
    <definedName name="IQ_GAIN_INVEST_REV_UTI">"c500"</definedName>
    <definedName name="IQ_GAIN_INVEST_UTI">"c1468"</definedName>
    <definedName name="IQ_GAIN_LOANS_REC">"c501"</definedName>
    <definedName name="IQ_GAIN_LOANS_RECEIV">"c502"</definedName>
    <definedName name="IQ_GAIN_LOANS_RECEIV_REV_FIN">"c503"</definedName>
    <definedName name="IQ_GAIN_LOANS_REV">"c504"</definedName>
    <definedName name="IQ_GAIN_SALE_ASSETS">"c1377"</definedName>
    <definedName name="IQ_GEO_SEG_ASSETS">"c4069"</definedName>
    <definedName name="IQ_GEO_SEG_ASSETS_ABS">"c4091"</definedName>
    <definedName name="IQ_GEO_SEG_ASSETS_TOTAL">"c4123"</definedName>
    <definedName name="IQ_GEO_SEG_CAPEX">"c4083"</definedName>
    <definedName name="IQ_GEO_SEG_CAPEX_ABS">"c4105"</definedName>
    <definedName name="IQ_GEO_SEG_CAPEX_TOTAL">"c4127"</definedName>
    <definedName name="IQ_GEO_SEG_DA">"c4082"</definedName>
    <definedName name="IQ_GEO_SEG_DA_ABS">"c4104"</definedName>
    <definedName name="IQ_GEO_SEG_DA_TOTAL">"c4126"</definedName>
    <definedName name="IQ_GEO_SEG_EARNINGS_OP">"c4073"</definedName>
    <definedName name="IQ_GEO_SEG_EARNINGS_OP_ABS">"c4095"</definedName>
    <definedName name="IQ_GEO_SEG_EARNINGS_OP_TOTAL">"c4119"</definedName>
    <definedName name="IQ_GEO_SEG_EBT">"c4072"</definedName>
    <definedName name="IQ_GEO_SEG_EBT_ABS">"c4094"</definedName>
    <definedName name="IQ_GEO_SEG_EBT_TOTAL">"c4121"</definedName>
    <definedName name="IQ_GEO_SEG_GP">"c4070"</definedName>
    <definedName name="IQ_GEO_SEG_GP_ABS">"c4092"</definedName>
    <definedName name="IQ_GEO_SEG_GP_TOTAL">"c4120"</definedName>
    <definedName name="IQ_GEO_SEG_INC_TAX">"c4081"</definedName>
    <definedName name="IQ_GEO_SEG_INC_TAX_ABS">"c4103"</definedName>
    <definedName name="IQ_GEO_SEG_INC_TAX_TOTAL">"c4125"</definedName>
    <definedName name="IQ_GEO_SEG_INTEREST_EXP">"c4080"</definedName>
    <definedName name="IQ_GEO_SEG_INTEREST_EXP_ABS">"c4102"</definedName>
    <definedName name="IQ_GEO_SEG_INTEREST_EXP_TOTAL">"c4124"</definedName>
    <definedName name="IQ_GEO_SEG_NAME">"c5484"</definedName>
    <definedName name="IQ_GEO_SEG_NAME_ABS">"c5485"</definedName>
    <definedName name="IQ_GEO_SEG_NI">"c4071"</definedName>
    <definedName name="IQ_GEO_SEG_NI_ABS">"c4093"</definedName>
    <definedName name="IQ_GEO_SEG_NI_TOTAL">"c4122"</definedName>
    <definedName name="IQ_GEO_SEG_OPER_INC">"c4075"</definedName>
    <definedName name="IQ_GEO_SEG_OPER_INC_ABS">"c4097"</definedName>
    <definedName name="IQ_GEO_SEG_OPER_INC_TOTAL">"c4118"</definedName>
    <definedName name="IQ_GEO_SEG_REV">"c4074"</definedName>
    <definedName name="IQ_GEO_SEG_REV_ABS">"c4096"</definedName>
    <definedName name="IQ_GEO_SEG_REV_TOTAL">"c4117"</definedName>
    <definedName name="IQ_GOODWILL_NET">"c1380"</definedName>
    <definedName name="IQ_GP">"c511"</definedName>
    <definedName name="IQ_GP_10YR_ANN_GROWTH">"c512"</definedName>
    <definedName name="IQ_GP_1YR_ANN_GROWTH">"c513"</definedName>
    <definedName name="IQ_GP_2YR_ANN_GROWTH">"c514"</definedName>
    <definedName name="IQ_GP_3YR_ANN_GROWTH">"c515"</definedName>
    <definedName name="IQ_GP_5YR_ANN_GROWTH">"c516"</definedName>
    <definedName name="IQ_GP_7YR_ANN_GROWTH">"c517"</definedName>
    <definedName name="IQ_GPPE">"c518"</definedName>
    <definedName name="IQ_GROSS_AH_EARNED">"c2742"</definedName>
    <definedName name="IQ_GROSS_CLAIM_EXP_INCUR">"c2755"</definedName>
    <definedName name="IQ_GROSS_CLAIM_EXP_PAID">"c2758"</definedName>
    <definedName name="IQ_GROSS_CLAIM_EXP_RES">"c2752"</definedName>
    <definedName name="IQ_GROSS_DIVID">"c1446"</definedName>
    <definedName name="IQ_GROSS_EARNED">"c2732"</definedName>
    <definedName name="IQ_GROSS_LIFE_EARNED">"c2737"</definedName>
    <definedName name="IQ_GROSS_LIFE_IN_FORCE">"c2767"</definedName>
    <definedName name="IQ_GROSS_LOANS">"c521"</definedName>
    <definedName name="IQ_GROSS_LOANS_10YR_ANN_GROWTH">"c522"</definedName>
    <definedName name="IQ_GROSS_LOANS_1YR_ANN_GROWTH">"c523"</definedName>
    <definedName name="IQ_GROSS_LOANS_2YR_ANN_GROWTH">"c524"</definedName>
    <definedName name="IQ_GROSS_LOANS_3YR_ANN_GROWTH">"c525"</definedName>
    <definedName name="IQ_GROSS_LOANS_5YR_ANN_GROWTH">"c526"</definedName>
    <definedName name="IQ_GROSS_LOANS_7YR_ANN_GROWTH">"c527"</definedName>
    <definedName name="IQ_GROSS_LOANS_TOTAL_DEPOSITS">"c528"</definedName>
    <definedName name="IQ_GROSS_MARGIN">"c529"</definedName>
    <definedName name="IQ_GROSS_MARGIN_ACT_OR_EST">"c5554"</definedName>
    <definedName name="IQ_GROSS_MARGIN_EST">"c5547"</definedName>
    <definedName name="IQ_GROSS_MARGIN_HIGH_EST">"c5549"</definedName>
    <definedName name="IQ_GROSS_MARGIN_LOW_EST">"c5550"</definedName>
    <definedName name="IQ_GROSS_MARGIN_MEDIAN_EST">"c5548"</definedName>
    <definedName name="IQ_GROSS_MARGIN_NUM_EST">"c5551"</definedName>
    <definedName name="IQ_GROSS_MARGIN_STDDEV_EST">"c5552"</definedName>
    <definedName name="IQ_GROSS_PC_EARNED">"c2747"</definedName>
    <definedName name="IQ_GROSS_PROFIT">"c1378"</definedName>
    <definedName name="IQ_GROSS_SPRD">"c2155"</definedName>
    <definedName name="IQ_GROSS_WRITTEN">"c2726"</definedName>
    <definedName name="IQ_GW">"c530"</definedName>
    <definedName name="IQ_GW_AMORT_BR">"c532"</definedName>
    <definedName name="IQ_GW_AMORT_FIN">"c540"</definedName>
    <definedName name="IQ_GW_AMORT_INS">"c541"</definedName>
    <definedName name="IQ_GW_AMORT_REIT">"c542"</definedName>
    <definedName name="IQ_GW_AMORT_UTI">"c543"</definedName>
    <definedName name="IQ_GW_INTAN_AMORT">"c1469"</definedName>
    <definedName name="IQ_GW_INTAN_AMORT_BNK">"c544"</definedName>
    <definedName name="IQ_GW_INTAN_AMORT_BR">"c1470"</definedName>
    <definedName name="IQ_GW_INTAN_AMORT_CF">"c1471"</definedName>
    <definedName name="IQ_GW_INTAN_AMORT_CF_BNK">"c1472"</definedName>
    <definedName name="IQ_GW_INTAN_AMORT_CF_BR">"c1473"</definedName>
    <definedName name="IQ_GW_INTAN_AMORT_CF_FIN">"c1474"</definedName>
    <definedName name="IQ_GW_INTAN_AMORT_CF_INS">"c1475"</definedName>
    <definedName name="IQ_GW_INTAN_AMORT_CF_REIT">"c1476"</definedName>
    <definedName name="IQ_GW_INTAN_AMORT_CF_UTI">"c1477"</definedName>
    <definedName name="IQ_GW_INTAN_AMORT_FIN">"c1478"</definedName>
    <definedName name="IQ_GW_INTAN_AMORT_INS">"c1479"</definedName>
    <definedName name="IQ_GW_INTAN_AMORT_REIT">"c1480"</definedName>
    <definedName name="IQ_GW_INTAN_AMORT_UTI">"c1481"</definedName>
    <definedName name="IQ_HIGH_TARGET_PRICE">"c1651"</definedName>
    <definedName name="IQ_HIGH_TARGET_PRICE_REUT">"c5317"</definedName>
    <definedName name="IQ_HIGHPRICE">"c545"</definedName>
    <definedName name="IQ_HOMEOWNERS_WRITTEN">"c546"</definedName>
    <definedName name="IQ_HOUSING_COMPLETIONS_SINGLE_FAM_APR_FC_UNUSED_UNUSED_UNUSED">"c8422"</definedName>
    <definedName name="IQ_HOUSING_COMPLETIONS_SINGLE_FAM_APR_UNUSED_UNUSED_UNUSED">"c7542"</definedName>
    <definedName name="IQ_HOUSING_COMPLETIONS_SINGLE_FAM_FC_UNUSED_UNUSED_UNUSED">"c7762"</definedName>
    <definedName name="IQ_HOUSING_COMPLETIONS_SINGLE_FAM_POP_FC_UNUSED_UNUSED_UNUSED">"c7982"</definedName>
    <definedName name="IQ_HOUSING_COMPLETIONS_SINGLE_FAM_POP_UNUSED_UNUSED_UNUSED">"c7102"</definedName>
    <definedName name="IQ_HOUSING_COMPLETIONS_SINGLE_FAM_UNUSED_UNUSED_UNUSED">"c6882"</definedName>
    <definedName name="IQ_HOUSING_COMPLETIONS_SINGLE_FAM_YOY_FC_UNUSED_UNUSED_UNUSED">"c8202"</definedName>
    <definedName name="IQ_HOUSING_COMPLETIONS_SINGLE_FAM_YOY_UNUSED_UNUSED_UNUSED">"c7322"</definedName>
    <definedName name="IQ_IMPAIR_OIL">"c547"</definedName>
    <definedName name="IQ_IMPAIRMENT_GW">"c548"</definedName>
    <definedName name="IQ_IMPORTS_GOODS_REAL_SAAR_APR_FC_UNUSED_UNUSED_UNUSED">"c8523"</definedName>
    <definedName name="IQ_IMPORTS_GOODS_REAL_SAAR_APR_UNUSED_UNUSED_UNUSED">"c7643"</definedName>
    <definedName name="IQ_IMPORTS_GOODS_REAL_SAAR_FC_UNUSED_UNUSED_UNUSED">"c7863"</definedName>
    <definedName name="IQ_IMPORTS_GOODS_REAL_SAAR_POP_FC_UNUSED_UNUSED_UNUSED">"c8083"</definedName>
    <definedName name="IQ_IMPORTS_GOODS_REAL_SAAR_POP_UNUSED_UNUSED_UNUSED">"c7203"</definedName>
    <definedName name="IQ_IMPORTS_GOODS_REAL_SAAR_UNUSED_UNUSED_UNUSED">"c6983"</definedName>
    <definedName name="IQ_IMPORTS_GOODS_REAL_SAAR_YOY_FC_UNUSED_UNUSED_UNUSED">"c8303"</definedName>
    <definedName name="IQ_IMPORTS_GOODS_REAL_SAAR_YOY_UNUSED_UNUSED_UNUSED">"c7423"</definedName>
    <definedName name="IQ_IMPORTS_GOODS_SERVICES_APR_FC_UNUSED_UNUSED_UNUSED">"c8429"</definedName>
    <definedName name="IQ_IMPORTS_GOODS_SERVICES_APR_UNUSED_UNUSED_UNUSED">"c7549"</definedName>
    <definedName name="IQ_IMPORTS_GOODS_SERVICES_FC_UNUSED_UNUSED_UNUSED">"c7769"</definedName>
    <definedName name="IQ_IMPORTS_GOODS_SERVICES_POP_FC_UNUSED_UNUSED_UNUSED">"c7989"</definedName>
    <definedName name="IQ_IMPORTS_GOODS_SERVICES_POP_UNUSED_UNUSED_UNUSED">"c7109"</definedName>
    <definedName name="IQ_IMPORTS_GOODS_SERVICES_REAL_SAAR_APR_FC_UNUSED_UNUSED_UNUSED">"c8524"</definedName>
    <definedName name="IQ_IMPORTS_GOODS_SERVICES_REAL_SAAR_APR_UNUSED_UNUSED_UNUSED">"c7644"</definedName>
    <definedName name="IQ_IMPORTS_GOODS_SERVICES_REAL_SAAR_FC_UNUSED_UNUSED_UNUSED">"c7864"</definedName>
    <definedName name="IQ_IMPORTS_GOODS_SERVICES_REAL_SAAR_POP_FC_UNUSED_UNUSED_UNUSED">"c8084"</definedName>
    <definedName name="IQ_IMPORTS_GOODS_SERVICES_REAL_SAAR_POP_UNUSED_UNUSED_UNUSED">"c7204"</definedName>
    <definedName name="IQ_IMPORTS_GOODS_SERVICES_REAL_SAAR_UNUSED_UNUSED_UNUSED">"c6984"</definedName>
    <definedName name="IQ_IMPORTS_GOODS_SERVICES_REAL_SAAR_YOY_FC_UNUSED_UNUSED_UNUSED">"c8304"</definedName>
    <definedName name="IQ_IMPORTS_GOODS_SERVICES_REAL_SAAR_YOY_UNUSED_UNUSED_UNUSED">"c7424"</definedName>
    <definedName name="IQ_IMPORTS_GOODS_SERVICES_UNUSED_UNUSED_UNUSED">"c6889"</definedName>
    <definedName name="IQ_IMPORTS_GOODS_SERVICES_YOY_FC_UNUSED_UNUSED_UNUSED">"c8209"</definedName>
    <definedName name="IQ_IMPORTS_GOODS_SERVICES_YOY_UNUSED_UNUSED_UNUSED">"c7329"</definedName>
    <definedName name="IQ_IMPUT_OPER_LEASE_DEPR">"c2987"</definedName>
    <definedName name="IQ_IMPUT_OPER_LEASE_INT_EXP">"c2986"</definedName>
    <definedName name="IQ_INC_AFTER_TAX">"c1598"</definedName>
    <definedName name="IQ_INC_AVAIL_EXCL">"c1395"</definedName>
    <definedName name="IQ_INC_AVAIL_INCL">"c1396"</definedName>
    <definedName name="IQ_INC_BEFORE_TAX">"c1375"</definedName>
    <definedName name="IQ_INC_EQUITY">"c549"</definedName>
    <definedName name="IQ_INC_EQUITY_BR">"c550"</definedName>
    <definedName name="IQ_INC_EQUITY_CF">"c551"</definedName>
    <definedName name="IQ_INC_EQUITY_FIN">"c552"</definedName>
    <definedName name="IQ_INC_EQUITY_INS">"c553"</definedName>
    <definedName name="IQ_INC_EQUITY_REC_BNK">"c554"</definedName>
    <definedName name="IQ_INC_EQUITY_REIT">"c555"</definedName>
    <definedName name="IQ_INC_EQUITY_REV_BNK">"c556"</definedName>
    <definedName name="IQ_INC_EQUITY_UTI">"c557"</definedName>
    <definedName name="IQ_INC_REAL_ESTATE_REC">"c558"</definedName>
    <definedName name="IQ_INC_REAL_ESTATE_REV">"c559"</definedName>
    <definedName name="IQ_INC_TAX">"c560"</definedName>
    <definedName name="IQ_INC_TAX_EXCL">"c1599"</definedName>
    <definedName name="IQ_INC_TAX_PAY_CURRENT">"c561"</definedName>
    <definedName name="IQ_INC_TRADE_ACT">"c562"</definedName>
    <definedName name="IQ_INDUSTRY">"c3601"</definedName>
    <definedName name="IQ_INDUSTRY_GROUP">"c3602"</definedName>
    <definedName name="IQ_INDUSTRY_SECTOR">"c3603"</definedName>
    <definedName name="IQ_INS_ANNUITY_LIAB">"c563"</definedName>
    <definedName name="IQ_INS_ANNUITY_REV">"c2788"</definedName>
    <definedName name="IQ_INS_DIV_EXP">"c564"</definedName>
    <definedName name="IQ_INS_DIV_REV">"c565"</definedName>
    <definedName name="IQ_INS_IN_FORCE">"c566"</definedName>
    <definedName name="IQ_INS_LIAB">"c567"</definedName>
    <definedName name="IQ_INS_POLICY_EXP">"c568"</definedName>
    <definedName name="IQ_INS_REV">"c569"</definedName>
    <definedName name="IQ_INS_SETTLE">"c570"</definedName>
    <definedName name="IQ_INS_SETTLE_BNK">"c571"</definedName>
    <definedName name="IQ_INS_SETTLE_BR">"c572"</definedName>
    <definedName name="IQ_INS_SETTLE_FIN">"c573"</definedName>
    <definedName name="IQ_INS_SETTLE_INS">"c574"</definedName>
    <definedName name="IQ_INS_SETTLE_REIT">"c575"</definedName>
    <definedName name="IQ_INS_SETTLE_UTI">"c576"</definedName>
    <definedName name="IQ_INSIDER_3MTH_BOUGHT_PCT">"c1534"</definedName>
    <definedName name="IQ_INSIDER_3MTH_NET_PCT">"c1535"</definedName>
    <definedName name="IQ_INSIDER_3MTH_SOLD_PCT">"c1533"</definedName>
    <definedName name="IQ_INSIDER_6MTH_BOUGHT_PCT">"c1537"</definedName>
    <definedName name="IQ_INSIDER_6MTH_NET_PCT">"c1538"</definedName>
    <definedName name="IQ_INSIDER_6MTH_SOLD_PCT">"c1536"</definedName>
    <definedName name="IQ_INSIDER_OVER_TOTAL">"c1581"</definedName>
    <definedName name="IQ_INSIDER_OWNER">"c577"</definedName>
    <definedName name="IQ_INSIDER_PERCENT">"c578"</definedName>
    <definedName name="IQ_INSIDER_SHARES">"c579"</definedName>
    <definedName name="IQ_INSTITUTIONAL_OVER_TOTAL">"c1580"</definedName>
    <definedName name="IQ_INSTITUTIONAL_OWNER">"c580"</definedName>
    <definedName name="IQ_INSTITUTIONAL_PERCENT">"c581"</definedName>
    <definedName name="IQ_INSTITUTIONAL_SHARES">"c582"</definedName>
    <definedName name="IQ_INSUR_RECEIV">"c1600"</definedName>
    <definedName name="IQ_INT_BORROW">"c583"</definedName>
    <definedName name="IQ_INT_DEPOSITS">"c584"</definedName>
    <definedName name="IQ_INT_DIV_INC">"c585"</definedName>
    <definedName name="IQ_INT_EXP_BR">"c586"</definedName>
    <definedName name="IQ_INT_EXP_COVERAGE">"c587"</definedName>
    <definedName name="IQ_INT_EXP_FIN">"c588"</definedName>
    <definedName name="IQ_INT_EXP_INCL_CAP">"c2988"</definedName>
    <definedName name="IQ_INT_EXP_INS">"c589"</definedName>
    <definedName name="IQ_INT_EXP_LTD">"c2086"</definedName>
    <definedName name="IQ_INT_EXP_REIT">"c590"</definedName>
    <definedName name="IQ_INT_EXP_TOTAL">"c591"</definedName>
    <definedName name="IQ_INT_EXP_UTI">"c592"</definedName>
    <definedName name="IQ_INT_INC_BR">"c593"</definedName>
    <definedName name="IQ_INT_INC_FIN">"c594"</definedName>
    <definedName name="IQ_INT_INC_INVEST">"c595"</definedName>
    <definedName name="IQ_INT_INC_LOANS">"c596"</definedName>
    <definedName name="IQ_INT_INC_REIT">"c597"</definedName>
    <definedName name="IQ_INT_INC_TOTAL">"c598"</definedName>
    <definedName name="IQ_INT_INC_UTI">"c599"</definedName>
    <definedName name="IQ_INT_INV_INC">"c600"</definedName>
    <definedName name="IQ_INT_INV_INC_REIT">"c601"</definedName>
    <definedName name="IQ_INT_INV_INC_UTI">"c602"</definedName>
    <definedName name="IQ_INT_ON_BORROWING_COVERAGE">"c603"</definedName>
    <definedName name="IQ_INT_RATE_SPREAD">"c604"</definedName>
    <definedName name="IQ_INTANGIBLES_NET">"c1407"</definedName>
    <definedName name="IQ_INTEREST_CASH_DEPOSITS">"c2255"</definedName>
    <definedName name="IQ_INTEREST_EXP">"c618"</definedName>
    <definedName name="IQ_INTEREST_EXP_NET">"c1450"</definedName>
    <definedName name="IQ_INTEREST_EXP_NON">"c1383"</definedName>
    <definedName name="IQ_INTEREST_EXP_SUPPL">"c1460"</definedName>
    <definedName name="IQ_INTEREST_INC">"c1393"</definedName>
    <definedName name="IQ_INTEREST_INC_NON">"c1384"</definedName>
    <definedName name="IQ_INTEREST_INVEST_INC">"c619"</definedName>
    <definedName name="IQ_INV_10YR_ANN_GROWTH">"c1930"</definedName>
    <definedName name="IQ_INV_1YR_ANN_GROWTH">"c1925"</definedName>
    <definedName name="IQ_INV_2YR_ANN_GROWTH">"c1926"</definedName>
    <definedName name="IQ_INV_3YR_ANN_GROWTH">"c1927"</definedName>
    <definedName name="IQ_INV_5YR_ANN_GROWTH">"c1928"</definedName>
    <definedName name="IQ_INV_7YR_ANN_GROWTH">"c1929"</definedName>
    <definedName name="IQ_INV_BANKING_FEE">"c620"</definedName>
    <definedName name="IQ_INV_METHOD">"c621"</definedName>
    <definedName name="IQ_INVENTORY">"c622"</definedName>
    <definedName name="IQ_INVENTORY_TURNS">"c623"</definedName>
    <definedName name="IQ_INVENTORY_UTI">"c624"</definedName>
    <definedName name="IQ_INVEST_DEBT">"c625"</definedName>
    <definedName name="IQ_INVEST_EQUITY_PREF">"c626"</definedName>
    <definedName name="IQ_INVEST_FHLB">"c627"</definedName>
    <definedName name="IQ_INVEST_GOV_SECURITY">"c5510"</definedName>
    <definedName name="IQ_INVEST_LOANS_CF">"c628"</definedName>
    <definedName name="IQ_INVEST_LOANS_CF_BNK">"c629"</definedName>
    <definedName name="IQ_INVEST_LOANS_CF_BR">"c630"</definedName>
    <definedName name="IQ_INVEST_LOANS_CF_FIN">"c631"</definedName>
    <definedName name="IQ_INVEST_LOANS_CF_INS">"c632"</definedName>
    <definedName name="IQ_INVEST_LOANS_CF_REIT">"c633"</definedName>
    <definedName name="IQ_INVEST_LOANS_CF_UTI">"c634"</definedName>
    <definedName name="IQ_INVEST_MUNI_SECURITY">"c5512"</definedName>
    <definedName name="IQ_INVEST_REAL_ESTATE">"c635"</definedName>
    <definedName name="IQ_INVEST_SECURITY">"c636"</definedName>
    <definedName name="IQ_INVEST_SECURITY_CF">"c637"</definedName>
    <definedName name="IQ_INVEST_SECURITY_CF_BNK">"c638"</definedName>
    <definedName name="IQ_INVEST_SECURITY_CF_BR">"c639"</definedName>
    <definedName name="IQ_INVEST_SECURITY_CF_FIN">"c640"</definedName>
    <definedName name="IQ_INVEST_SECURITY_CF_INS">"c641"</definedName>
    <definedName name="IQ_INVEST_SECURITY_CF_REIT">"c642"</definedName>
    <definedName name="IQ_INVEST_SECURITY_CF_UTI">"c643"</definedName>
    <definedName name="IQ_INVEST_SECURITY_SUPPL">"c5511"</definedName>
    <definedName name="IQ_IPRD">"c644"</definedName>
    <definedName name="IQ_ISM_SERVICES_APR_FC_UNUSED_UNUSED_UNUSED">"c8443"</definedName>
    <definedName name="IQ_ISM_SERVICES_APR_UNUSED_UNUSED_UNUSED">"c7563"</definedName>
    <definedName name="IQ_ISM_SERVICES_FC_UNUSED_UNUSED_UNUSED">"c7783"</definedName>
    <definedName name="IQ_ISM_SERVICES_POP_FC_UNUSED_UNUSED_UNUSED">"c8003"</definedName>
    <definedName name="IQ_ISM_SERVICES_POP_UNUSED_UNUSED_UNUSED">"c7123"</definedName>
    <definedName name="IQ_ISM_SERVICES_UNUSED_UNUSED_UNUSED">"c6903"</definedName>
    <definedName name="IQ_ISM_SERVICES_YOY_FC_UNUSED_UNUSED_UNUSED">"c8223"</definedName>
    <definedName name="IQ_ISM_SERVICES_YOY_UNUSED_UNUSED_UNUSED">"c7343"</definedName>
    <definedName name="IQ_ISS_DEBT_NET">"c1391"</definedName>
    <definedName name="IQ_ISS_STOCK_NET">"c1601"</definedName>
    <definedName name="IQ_ISSUE_CURRENCY">"c2156"</definedName>
    <definedName name="IQ_ISSUE_NAME">"c2142"</definedName>
    <definedName name="IQ_ISSUER">"c2143"</definedName>
    <definedName name="IQ_ISSUER_CIQID">"c2258"</definedName>
    <definedName name="IQ_ISSUER_PARENT">"c2144"</definedName>
    <definedName name="IQ_ISSUER_PARENT_CIQID">"c2260"</definedName>
    <definedName name="IQ_ISSUER_PARENT_TICKER">"c2259"</definedName>
    <definedName name="IQ_ISSUER_TICKER">"c2252"</definedName>
    <definedName name="IQ_JR_SUB_DEBT">"c2534"</definedName>
    <definedName name="IQ_JR_SUB_DEBT_EBITDA">"c2560"</definedName>
    <definedName name="IQ_JR_SUB_DEBT_EBITDA_CAPEX">"c2561"</definedName>
    <definedName name="IQ_JR_SUB_DEBT_PCT">"c2535"</definedName>
    <definedName name="IQ_LAND">"c645"</definedName>
    <definedName name="IQ_LAST_PMT_DATE">"c2188"</definedName>
    <definedName name="IQ_LAST_SPLIT_DATE">"c2095"</definedName>
    <definedName name="IQ_LAST_SPLIT_FACTOR">"c2093"</definedName>
    <definedName name="IQ_LASTPRICINGDATE">"c3051"</definedName>
    <definedName name="IQ_LASTSALEPRICE">"c646"</definedName>
    <definedName name="IQ_LASTSALEPRICE_DATE">"c2109"</definedName>
    <definedName name="IQ_LATESTK">1000</definedName>
    <definedName name="IQ_LATESTQ">500</definedName>
    <definedName name="IQ_LEGAL_SETTLE">"c647"</definedName>
    <definedName name="IQ_LEGAL_SETTLE_BNK">"c648"</definedName>
    <definedName name="IQ_LEGAL_SETTLE_BR">"c649"</definedName>
    <definedName name="IQ_LEGAL_SETTLE_FIN">"c650"</definedName>
    <definedName name="IQ_LEGAL_SETTLE_INS">"c651"</definedName>
    <definedName name="IQ_LEGAL_SETTLE_REIT">"c652"</definedName>
    <definedName name="IQ_LEGAL_SETTLE_UTI">"c653"</definedName>
    <definedName name="IQ_LEVERAGE_RATIO">"c654"</definedName>
    <definedName name="IQ_LEVERED_FCF">"c1907"</definedName>
    <definedName name="IQ_LFCF_10YR_ANN_GROWTH">"c1942"</definedName>
    <definedName name="IQ_LFCF_1YR_ANN_GROWTH">"c1937"</definedName>
    <definedName name="IQ_LFCF_2YR_ANN_GROWTH">"c1938"</definedName>
    <definedName name="IQ_LFCF_3YR_ANN_GROWTH">"c1939"</definedName>
    <definedName name="IQ_LFCF_5YR_ANN_GROWTH">"c1940"</definedName>
    <definedName name="IQ_LFCF_7YR_ANN_GROWTH">"c1941"</definedName>
    <definedName name="IQ_LFCF_MARGIN">"c1961"</definedName>
    <definedName name="IQ_LH_STATUTORY_SURPLUS">"c2771"</definedName>
    <definedName name="IQ_LICENSED_POPS">"c2123"</definedName>
    <definedName name="IQ_LIFE_EARNED">"c2739"</definedName>
    <definedName name="IQ_LIFOR">"c655"</definedName>
    <definedName name="IQ_LL">"c656"</definedName>
    <definedName name="IQ_LOAN_LEASE_RECEIV">"c657"</definedName>
    <definedName name="IQ_LOAN_LOSS">"c1386"</definedName>
    <definedName name="IQ_LOAN_SERVICE_REV">"c658"</definedName>
    <definedName name="IQ_LOANS_CF">"c659"</definedName>
    <definedName name="IQ_LOANS_CF_BNK">"c660"</definedName>
    <definedName name="IQ_LOANS_CF_BR">"c661"</definedName>
    <definedName name="IQ_LOANS_CF_FIN">"c662"</definedName>
    <definedName name="IQ_LOANS_CF_INS">"c663"</definedName>
    <definedName name="IQ_LOANS_CF_REIT">"c664"</definedName>
    <definedName name="IQ_LOANS_CF_UTI">"c665"</definedName>
    <definedName name="IQ_LOANS_FOR_SALE">"c666"</definedName>
    <definedName name="IQ_LOANS_PAST_DUE">"c667"</definedName>
    <definedName name="IQ_LOANS_RECEIV_CURRENT">"c668"</definedName>
    <definedName name="IQ_LOANS_RECEIV_LT">"c669"</definedName>
    <definedName name="IQ_LOANS_RECEIV_LT_UTI">"c670"</definedName>
    <definedName name="IQ_LONG_TERM_DEBT">"c1387"</definedName>
    <definedName name="IQ_LONG_TERM_DEBT_OVER_TOTAL_CAP">"c1388"</definedName>
    <definedName name="IQ_LONG_TERM_GROWTH">"c671"</definedName>
    <definedName name="IQ_LONG_TERM_INV">"c1389"</definedName>
    <definedName name="IQ_LOSS_LOSS_EXP">"c672"</definedName>
    <definedName name="IQ_LOSS_TO_NET_EARNED">"c2751"</definedName>
    <definedName name="IQ_LOW_TARGET_PRICE">"c1652"</definedName>
    <definedName name="IQ_LOW_TARGET_PRICE_REUT">"c5318"</definedName>
    <definedName name="IQ_LOWPRICE">"c673"</definedName>
    <definedName name="IQ_LT_DEBT">"c674"</definedName>
    <definedName name="IQ_LT_DEBT_BNK">"c675"</definedName>
    <definedName name="IQ_LT_DEBT_BR">"c676"</definedName>
    <definedName name="IQ_LT_DEBT_CAPITAL">"c677"</definedName>
    <definedName name="IQ_LT_DEBT_CAPITAL_LEASES">"c2542"</definedName>
    <definedName name="IQ_LT_DEBT_CAPITAL_LEASES_PCT">"c2543"</definedName>
    <definedName name="IQ_LT_DEBT_EQUITY">"c678"</definedName>
    <definedName name="IQ_LT_DEBT_FIN">"c679"</definedName>
    <definedName name="IQ_LT_DEBT_INS">"c680"</definedName>
    <definedName name="IQ_LT_DEBT_ISSUED">"c681"</definedName>
    <definedName name="IQ_LT_DEBT_ISSUED_BNK">"c682"</definedName>
    <definedName name="IQ_LT_DEBT_ISSUED_BR">"c683"</definedName>
    <definedName name="IQ_LT_DEBT_ISSUED_FIN">"c684"</definedName>
    <definedName name="IQ_LT_DEBT_ISSUED_INS">"c685"</definedName>
    <definedName name="IQ_LT_DEBT_ISSUED_REIT">"c686"</definedName>
    <definedName name="IQ_LT_DEBT_ISSUED_UTI">"c687"</definedName>
    <definedName name="IQ_LT_DEBT_REIT">"c688"</definedName>
    <definedName name="IQ_LT_DEBT_REPAID">"c689"</definedName>
    <definedName name="IQ_LT_DEBT_REPAID_BNK">"c690"</definedName>
    <definedName name="IQ_LT_DEBT_REPAID_BR">"c691"</definedName>
    <definedName name="IQ_LT_DEBT_REPAID_FIN">"c692"</definedName>
    <definedName name="IQ_LT_DEBT_REPAID_INS">"c693"</definedName>
    <definedName name="IQ_LT_DEBT_REPAID_REIT">"c694"</definedName>
    <definedName name="IQ_LT_DEBT_REPAID_UTI">"c695"</definedName>
    <definedName name="IQ_LT_DEBT_UTI">"c696"</definedName>
    <definedName name="IQ_LT_INVEST">"c697"</definedName>
    <definedName name="IQ_LT_INVEST_BR">"c698"</definedName>
    <definedName name="IQ_LT_INVEST_FIN">"c699"</definedName>
    <definedName name="IQ_LT_INVEST_REIT">"c700"</definedName>
    <definedName name="IQ_LT_INVEST_UTI">"c701"</definedName>
    <definedName name="IQ_LT_NOTE_RECEIV">"c1602"</definedName>
    <definedName name="IQ_LTD_DUE_AFTER_FIVE">"c704"</definedName>
    <definedName name="IQ_LTD_DUE_CY">"c705"</definedName>
    <definedName name="IQ_LTD_DUE_CY1">"c706"</definedName>
    <definedName name="IQ_LTD_DUE_CY2">"c707"</definedName>
    <definedName name="IQ_LTD_DUE_CY3">"c708"</definedName>
    <definedName name="IQ_LTD_DUE_CY4">"c709"</definedName>
    <definedName name="IQ_LTD_DUE_NEXT_FIVE">"c710"</definedName>
    <definedName name="IQ_LTM">2000</definedName>
    <definedName name="IQ_LTM_REVENUE_OVER_EMPLOYEES">"c1437"</definedName>
    <definedName name="IQ_LTMMONTH">120000</definedName>
    <definedName name="IQ_MACHINERY">"c711"</definedName>
    <definedName name="IQ_MAINT_CAPEX">"c2947"</definedName>
    <definedName name="IQ_MAINT_CAPEX_ACT_OR_EST">"c4458"</definedName>
    <definedName name="IQ_MAINT_CAPEX_EST">"c4457"</definedName>
    <definedName name="IQ_MAINT_CAPEX_GUIDANCE">"c4459"</definedName>
    <definedName name="IQ_MAINT_CAPEX_HIGH_EST">"c4460"</definedName>
    <definedName name="IQ_MAINT_CAPEX_HIGH_GUIDANCE">"c4197"</definedName>
    <definedName name="IQ_MAINT_CAPEX_LOW_EST">"c4461"</definedName>
    <definedName name="IQ_MAINT_CAPEX_LOW_GUIDANCE">"c4237"</definedName>
    <definedName name="IQ_MAINT_CAPEX_MEDIAN_EST">"c4462"</definedName>
    <definedName name="IQ_MAINT_CAPEX_NUM_EST">"c4463"</definedName>
    <definedName name="IQ_MAINT_CAPEX_STDDEV_EST">"c4464"</definedName>
    <definedName name="IQ_MAINT_REPAIR">"c2087"</definedName>
    <definedName name="IQ_MAKE_WHOLE_END_DATE">"c2493"</definedName>
    <definedName name="IQ_MAKE_WHOLE_SPREAD">"c2494"</definedName>
    <definedName name="IQ_MAKE_WHOLE_START_DATE">"c2492"</definedName>
    <definedName name="IQ_MARKET_CAP_LFCF">"c2209"</definedName>
    <definedName name="IQ_MARKETCAP">"c712"</definedName>
    <definedName name="IQ_MARKETING">"c2239"</definedName>
    <definedName name="IQ_MATURITY_DATE">"c2146"</definedName>
    <definedName name="IQ_MC_RATIO">"c2783"</definedName>
    <definedName name="IQ_MC_STATUTORY_SURPLUS">"c2772"</definedName>
    <definedName name="IQ_MEDIAN_NEW_HOME_SALES_APR_FC_UNUSED_UNUSED_UNUSED">"c8460"</definedName>
    <definedName name="IQ_MEDIAN_NEW_HOME_SALES_APR_UNUSED_UNUSED_UNUSED">"c7580"</definedName>
    <definedName name="IQ_MEDIAN_NEW_HOME_SALES_FC_UNUSED_UNUSED_UNUSED">"c7800"</definedName>
    <definedName name="IQ_MEDIAN_NEW_HOME_SALES_POP_FC_UNUSED_UNUSED_UNUSED">"c8020"</definedName>
    <definedName name="IQ_MEDIAN_NEW_HOME_SALES_POP_UNUSED_UNUSED_UNUSED">"c7140"</definedName>
    <definedName name="IQ_MEDIAN_NEW_HOME_SALES_UNUSED_UNUSED_UNUSED">"c6920"</definedName>
    <definedName name="IQ_MEDIAN_NEW_HOME_SALES_YOY_FC_UNUSED_UNUSED_UNUSED">"c8240"</definedName>
    <definedName name="IQ_MEDIAN_NEW_HOME_SALES_YOY_UNUSED_UNUSED_UNUSED">"c7360"</definedName>
    <definedName name="IQ_MEDIAN_TARGET_PRICE">"c1650"</definedName>
    <definedName name="IQ_MEDIAN_TARGET_PRICE_REUT">"c5316"</definedName>
    <definedName name="IQ_MERGER">"c713"</definedName>
    <definedName name="IQ_MERGER_BNK">"c714"</definedName>
    <definedName name="IQ_MERGER_BR">"c715"</definedName>
    <definedName name="IQ_MERGER_FIN">"c716"</definedName>
    <definedName name="IQ_MERGER_INS">"c717"</definedName>
    <definedName name="IQ_MERGER_REIT">"c718"</definedName>
    <definedName name="IQ_MERGER_RESTRUCTURE">"c719"</definedName>
    <definedName name="IQ_MERGER_RESTRUCTURE_BNK">"c720"</definedName>
    <definedName name="IQ_MERGER_RESTRUCTURE_BR">"c721"</definedName>
    <definedName name="IQ_MERGER_RESTRUCTURE_FIN">"c722"</definedName>
    <definedName name="IQ_MERGER_RESTRUCTURE_INS">"c723"</definedName>
    <definedName name="IQ_MERGER_RESTRUCTURE_REIT">"c724"</definedName>
    <definedName name="IQ_MERGER_RESTRUCTURE_UTI">"c725"</definedName>
    <definedName name="IQ_MERGER_UTI">"c726"</definedName>
    <definedName name="IQ_MINORITY_INTEREST">"c727"</definedName>
    <definedName name="IQ_MINORITY_INTEREST_BNK">"c728"</definedName>
    <definedName name="IQ_MINORITY_INTEREST_BR">"c729"</definedName>
    <definedName name="IQ_MINORITY_INTEREST_CF">"c730"</definedName>
    <definedName name="IQ_MINORITY_INTEREST_FIN">"c731"</definedName>
    <definedName name="IQ_MINORITY_INTEREST_INS">"c732"</definedName>
    <definedName name="IQ_MINORITY_INTEREST_IS">"c733"</definedName>
    <definedName name="IQ_MINORITY_INTEREST_REIT">"c734"</definedName>
    <definedName name="IQ_MINORITY_INTEREST_TOTAL">"c1905"</definedName>
    <definedName name="IQ_MINORITY_INTEREST_UTI">"c735"</definedName>
    <definedName name="IQ_MISC_ADJUST_CF">"c736"</definedName>
    <definedName name="IQ_MISC_EARN_ADJ">"c1603"</definedName>
    <definedName name="IQ_MKTCAP_EBT_EXCL">"c737"</definedName>
    <definedName name="IQ_MKTCAP_EBT_EXCL_AVG">"c738"</definedName>
    <definedName name="IQ_MKTCAP_EBT_INCL_AVG">"c739"</definedName>
    <definedName name="IQ_MKTCAP_TOTAL_REV">"c740"</definedName>
    <definedName name="IQ_MKTCAP_TOTAL_REV_AVG">"c741"</definedName>
    <definedName name="IQ_MKTCAP_TOTAL_REV_FWD">"c742"</definedName>
    <definedName name="IQ_MKTCAP_TOTAL_REV_FWD_REUT">"c4048"</definedName>
    <definedName name="IQ_MM_ACCOUNT">"c743"</definedName>
    <definedName name="IQ_MONTH">15000</definedName>
    <definedName name="IQ_MORT_BANK_ACT">"c744"</definedName>
    <definedName name="IQ_MORT_BANKING_FEE">"c745"</definedName>
    <definedName name="IQ_MORT_INT_INC">"c746"</definedName>
    <definedName name="IQ_MORT_LOANS">"c747"</definedName>
    <definedName name="IQ_MORT_SECURITY">"c748"</definedName>
    <definedName name="IQ_MORTGAGE_SERV_RIGHTS">"c2242"</definedName>
    <definedName name="IQ_MTD">800000</definedName>
    <definedName name="IQ_NAMES_REVISION_DATE_">41360.9103240741</definedName>
    <definedName name="IQ_NAV_ACT_OR_EST">"c2225"</definedName>
    <definedName name="IQ_NAV_EST">"c1751"</definedName>
    <definedName name="IQ_NAV_HIGH_EST">"c1753"</definedName>
    <definedName name="IQ_NAV_LOW_EST">"c1754"</definedName>
    <definedName name="IQ_NAV_MEDIAN_EST">"c1752"</definedName>
    <definedName name="IQ_NAV_NUM_EST">"c1755"</definedName>
    <definedName name="IQ_NAV_SHARE_ACT_OR_EST">"c5615"</definedName>
    <definedName name="IQ_NAV_SHARE_ACT_OR_EST_REUT">"c5623"</definedName>
    <definedName name="IQ_NAV_SHARE_EST">"c5609"</definedName>
    <definedName name="IQ_NAV_SHARE_EST_REUT">"c5617"</definedName>
    <definedName name="IQ_NAV_SHARE_HIGH_EST">"c5612"</definedName>
    <definedName name="IQ_NAV_SHARE_HIGH_EST_REUT">"c5620"</definedName>
    <definedName name="IQ_NAV_SHARE_LOW_EST">"c5613"</definedName>
    <definedName name="IQ_NAV_SHARE_LOW_EST_REUT">"c5621"</definedName>
    <definedName name="IQ_NAV_SHARE_MEDIAN_EST">"c5610"</definedName>
    <definedName name="IQ_NAV_SHARE_MEDIAN_EST_REUT">"c5618"</definedName>
    <definedName name="IQ_NAV_SHARE_NUM_EST">"c5614"</definedName>
    <definedName name="IQ_NAV_SHARE_NUM_EST_REUT">"c5622"</definedName>
    <definedName name="IQ_NAV_SHARE_STDDEV_EST">"c5611"</definedName>
    <definedName name="IQ_NAV_SHARE_STDDEV_EST_REUT">"c5619"</definedName>
    <definedName name="IQ_NAV_STDDEV_EST">"c1756"</definedName>
    <definedName name="IQ_NET_CHANGE">"c749"</definedName>
    <definedName name="IQ_NET_CLAIM_EXP_INCUR">"c2757"</definedName>
    <definedName name="IQ_NET_CLAIM_EXP_INCUR_CY">"c2761"</definedName>
    <definedName name="IQ_NET_CLAIM_EXP_INCUR_PY">"c2762"</definedName>
    <definedName name="IQ_NET_CLAIM_EXP_PAID">"c2760"</definedName>
    <definedName name="IQ_NET_CLAIM_EXP_PAID_CY">"c2763"</definedName>
    <definedName name="IQ_NET_CLAIM_EXP_PAID_PY">"c2764"</definedName>
    <definedName name="IQ_NET_CLAIM_EXP_RES">"c2754"</definedName>
    <definedName name="IQ_NET_DEBT">"c1584"</definedName>
    <definedName name="IQ_NET_DEBT_ACT_OR_EST">"c3583"</definedName>
    <definedName name="IQ_NET_DEBT_ACT_OR_EST_REUT">"c5473"</definedName>
    <definedName name="IQ_NET_DEBT_EBITDA">"c750"</definedName>
    <definedName name="IQ_NET_DEBT_EBITDA_CAPEX">"c2949"</definedName>
    <definedName name="IQ_NET_DEBT_EST">"c3517"</definedName>
    <definedName name="IQ_NET_DEBT_EST_REUT">"c3976"</definedName>
    <definedName name="IQ_NET_DEBT_GUIDANCE">"c4467"</definedName>
    <definedName name="IQ_NET_DEBT_HIGH_EST">"c3518"</definedName>
    <definedName name="IQ_NET_DEBT_HIGH_EST_REUT">"c3978"</definedName>
    <definedName name="IQ_NET_DEBT_HIGH_GUIDANCE">"c4181"</definedName>
    <definedName name="IQ_NET_DEBT_ISSUED">"c751"</definedName>
    <definedName name="IQ_NET_DEBT_ISSUED_BNK">"c752"</definedName>
    <definedName name="IQ_NET_DEBT_ISSUED_BR">"c753"</definedName>
    <definedName name="IQ_NET_DEBT_ISSUED_FIN">"c754"</definedName>
    <definedName name="IQ_NET_DEBT_ISSUED_INS">"c755"</definedName>
    <definedName name="IQ_NET_DEBT_ISSUED_REIT">"c756"</definedName>
    <definedName name="IQ_NET_DEBT_ISSUED_UTI">"c757"</definedName>
    <definedName name="IQ_NET_DEBT_LOW_EST">"c3519"</definedName>
    <definedName name="IQ_NET_DEBT_LOW_EST_REUT">"c3979"</definedName>
    <definedName name="IQ_NET_DEBT_LOW_GUIDANCE">"c4221"</definedName>
    <definedName name="IQ_NET_DEBT_MEDIAN_EST">"c3520"</definedName>
    <definedName name="IQ_NET_DEBT_MEDIAN_EST_REUT">"c3977"</definedName>
    <definedName name="IQ_NET_DEBT_NUM_EST">"c3515"</definedName>
    <definedName name="IQ_NET_DEBT_NUM_EST_REUT">"c3980"</definedName>
    <definedName name="IQ_NET_DEBT_STDDEV_EST">"c3516"</definedName>
    <definedName name="IQ_NET_DEBT_STDDEV_EST_REUT">"c3981"</definedName>
    <definedName name="IQ_NET_EARNED">"c2734"</definedName>
    <definedName name="IQ_NET_INC">"c1394"</definedName>
    <definedName name="IQ_NET_INC_BEFORE">"c1368"</definedName>
    <definedName name="IQ_NET_INC_CF">"c1397"</definedName>
    <definedName name="IQ_NET_INC_MARGIN">"c1398"</definedName>
    <definedName name="IQ_NET_INT_INC_10YR_ANN_GROWTH">"c758"</definedName>
    <definedName name="IQ_NET_INT_INC_1YR_ANN_GROWTH">"c759"</definedName>
    <definedName name="IQ_NET_INT_INC_2YR_ANN_GROWTH">"c760"</definedName>
    <definedName name="IQ_NET_INT_INC_3YR_ANN_GROWTH">"c761"</definedName>
    <definedName name="IQ_NET_INT_INC_5YR_ANN_GROWTH">"c762"</definedName>
    <definedName name="IQ_NET_INT_INC_7YR_ANN_GROWTH">"c763"</definedName>
    <definedName name="IQ_NET_INT_INC_BNK">"c764"</definedName>
    <definedName name="IQ_NET_INT_INC_BR">"c765"</definedName>
    <definedName name="IQ_NET_INT_INC_FIN">"c766"</definedName>
    <definedName name="IQ_NET_INT_INC_TOTAL_REV">"c767"</definedName>
    <definedName name="IQ_NET_INT_MARGIN">"c768"</definedName>
    <definedName name="IQ_NET_INTEREST_EXP">"c769"</definedName>
    <definedName name="IQ_NET_INTEREST_EXP_REIT">"c770"</definedName>
    <definedName name="IQ_NET_INTEREST_EXP_UTI">"c771"</definedName>
    <definedName name="IQ_NET_INTEREST_INC">"c1392"</definedName>
    <definedName name="IQ_NET_INTEREST_INC_AFTER_LL">"c1604"</definedName>
    <definedName name="IQ_NET_LIFE_INS_IN_FORCE">"c2769"</definedName>
    <definedName name="IQ_NET_LOANS">"c772"</definedName>
    <definedName name="IQ_NET_LOANS_10YR_ANN_GROWTH">"c773"</definedName>
    <definedName name="IQ_NET_LOANS_1YR_ANN_GROWTH">"c774"</definedName>
    <definedName name="IQ_NET_LOANS_2YR_ANN_GROWTH">"c775"</definedName>
    <definedName name="IQ_NET_LOANS_3YR_ANN_GROWTH">"c776"</definedName>
    <definedName name="IQ_NET_LOANS_5YR_ANN_GROWTH">"c777"</definedName>
    <definedName name="IQ_NET_LOANS_7YR_ANN_GROWTH">"c778"</definedName>
    <definedName name="IQ_NET_LOANS_TOTAL_DEPOSITS">"c779"</definedName>
    <definedName name="IQ_NET_RENTAL_EXP_FN">"c780"</definedName>
    <definedName name="IQ_NET_TO_GROSS_EARNED">"c2750"</definedName>
    <definedName name="IQ_NET_TO_GROSS_WRITTEN">"c2729"</definedName>
    <definedName name="IQ_NET_WORKING_CAP">"c3493"</definedName>
    <definedName name="IQ_NET_WRITTEN">"c2728"</definedName>
    <definedName name="IQ_NEW_PREM">"c2785"</definedName>
    <definedName name="IQ_NEXT_CALL_DATE">"c2198"</definedName>
    <definedName name="IQ_NEXT_CALL_PRICE">"c2199"</definedName>
    <definedName name="IQ_NEXT_INT_DATE">"c2187"</definedName>
    <definedName name="IQ_NEXT_PUT_DATE">"c2200"</definedName>
    <definedName name="IQ_NEXT_PUT_PRICE">"c2201"</definedName>
    <definedName name="IQ_NEXT_SINK_FUND_AMOUNT">"c2490"</definedName>
    <definedName name="IQ_NEXT_SINK_FUND_DATE">"c2489"</definedName>
    <definedName name="IQ_NEXT_SINK_FUND_PRICE">"c2491"</definedName>
    <definedName name="IQ_NI">"c781"</definedName>
    <definedName name="IQ_NI_10YR_ANN_GROWTH">"c782"</definedName>
    <definedName name="IQ_NI_1YR_ANN_GROWTH">"c783"</definedName>
    <definedName name="IQ_NI_2YR_ANN_GROWTH">"c784"</definedName>
    <definedName name="IQ_NI_3YR_ANN_GROWTH">"c785"</definedName>
    <definedName name="IQ_NI_5YR_ANN_GROWTH">"c786"</definedName>
    <definedName name="IQ_NI_7YR_ANN_GROWTH">"c787"</definedName>
    <definedName name="IQ_NI_ACT_OR_EST">"c2222"</definedName>
    <definedName name="IQ_NI_ACT_OR_EST_REUT">"c5468"</definedName>
    <definedName name="IQ_NI_AFTER_CAPITALIZED">"c788"</definedName>
    <definedName name="IQ_NI_AVAIL_EXCL">"c789"</definedName>
    <definedName name="IQ_NI_AVAIL_EXCL_MARGIN">"c790"</definedName>
    <definedName name="IQ_NI_AVAIL_INCL">"c791"</definedName>
    <definedName name="IQ_NI_BEFORE_CAPITALIZED">"c792"</definedName>
    <definedName name="IQ_NI_CF">"c793"</definedName>
    <definedName name="IQ_NI_EST">"c1716"</definedName>
    <definedName name="IQ_NI_EST_REUT">"c5368"</definedName>
    <definedName name="IQ_NI_GAAP_GUIDANCE">"c4470"</definedName>
    <definedName name="IQ_NI_GAAP_HIGH_GUIDANCE">"c4177"</definedName>
    <definedName name="IQ_NI_GAAP_LOW_GUIDANCE">"c4217"</definedName>
    <definedName name="IQ_NI_GUIDANCE">"c4469"</definedName>
    <definedName name="IQ_NI_GW_EST">"c1723"</definedName>
    <definedName name="IQ_NI_GW_EST_REUT">"c5375"</definedName>
    <definedName name="IQ_NI_GW_GUIDANCE">"c4471"</definedName>
    <definedName name="IQ_NI_GW_HIGH_EST">"c1725"</definedName>
    <definedName name="IQ_NI_GW_HIGH_EST_REUT">"c5377"</definedName>
    <definedName name="IQ_NI_GW_HIGH_GUIDANCE">"c4178"</definedName>
    <definedName name="IQ_NI_GW_LOW_EST">"c1726"</definedName>
    <definedName name="IQ_NI_GW_LOW_EST_REUT">"c5378"</definedName>
    <definedName name="IQ_NI_GW_LOW_GUIDANCE">"c4218"</definedName>
    <definedName name="IQ_NI_GW_MEDIAN_EST">"c1724"</definedName>
    <definedName name="IQ_NI_GW_MEDIAN_EST_REUT">"c5376"</definedName>
    <definedName name="IQ_NI_GW_NUM_EST">"c1727"</definedName>
    <definedName name="IQ_NI_GW_NUM_EST_REUT">"c5379"</definedName>
    <definedName name="IQ_NI_GW_STDDEV_EST">"c1728"</definedName>
    <definedName name="IQ_NI_GW_STDDEV_EST_REUT">"c5380"</definedName>
    <definedName name="IQ_NI_HIGH_EST">"c1718"</definedName>
    <definedName name="IQ_NI_HIGH_EST_REUT">"c5370"</definedName>
    <definedName name="IQ_NI_HIGH_GUIDANCE">"c4176"</definedName>
    <definedName name="IQ_NI_LOW_EST">"c1719"</definedName>
    <definedName name="IQ_NI_LOW_EST_REUT">"c5371"</definedName>
    <definedName name="IQ_NI_LOW_GUIDANCE">"c4216"</definedName>
    <definedName name="IQ_NI_MARGIN">"c794"</definedName>
    <definedName name="IQ_NI_MEDIAN_EST">"c1717"</definedName>
    <definedName name="IQ_NI_MEDIAN_EST_REUT">"c5369"</definedName>
    <definedName name="IQ_NI_NORM">"c1901"</definedName>
    <definedName name="IQ_NI_NORM_10YR_ANN_GROWTH">"c1960"</definedName>
    <definedName name="IQ_NI_NORM_1YR_ANN_GROWTH">"c1955"</definedName>
    <definedName name="IQ_NI_NORM_2YR_ANN_GROWTH">"c1956"</definedName>
    <definedName name="IQ_NI_NORM_3YR_ANN_GROWTH">"c1957"</definedName>
    <definedName name="IQ_NI_NORM_5YR_ANN_GROWTH">"c1958"</definedName>
    <definedName name="IQ_NI_NORM_7YR_ANN_GROWTH">"c1959"</definedName>
    <definedName name="IQ_NI_NORM_MARGIN">"c1964"</definedName>
    <definedName name="IQ_NI_NUM_EST">"c1720"</definedName>
    <definedName name="IQ_NI_NUM_EST_REUT">"c5372"</definedName>
    <definedName name="IQ_NI_REPORTED_EST">"c1730"</definedName>
    <definedName name="IQ_NI_REPORTED_EST_REUT">"c5382"</definedName>
    <definedName name="IQ_NI_REPORTED_HIGH_EST">"c1732"</definedName>
    <definedName name="IQ_NI_REPORTED_HIGH_EST_REUT">"c5384"</definedName>
    <definedName name="IQ_NI_REPORTED_LOW_EST">"c1733"</definedName>
    <definedName name="IQ_NI_REPORTED_LOW_EST_REUT">"c5385"</definedName>
    <definedName name="IQ_NI_REPORTED_MEDIAN_EST">"c1731"</definedName>
    <definedName name="IQ_NI_REPORTED_MEDIAN_EST_REUT">"c5383"</definedName>
    <definedName name="IQ_NI_REPORTED_NUM_EST">"c1734"</definedName>
    <definedName name="IQ_NI_REPORTED_NUM_EST_REUT">"c5386"</definedName>
    <definedName name="IQ_NI_REPORTED_STDDEV_EST">"c1735"</definedName>
    <definedName name="IQ_NI_REPORTED_STDDEV_EST_REUT">"c5387"</definedName>
    <definedName name="IQ_NI_SBC_ACT_OR_EST">"c4474"</definedName>
    <definedName name="IQ_NI_SBC_EST">"c4473"</definedName>
    <definedName name="IQ_NI_SBC_GUIDANCE">"c4475"</definedName>
    <definedName name="IQ_NI_SBC_GW_ACT_OR_EST">"c4478"</definedName>
    <definedName name="IQ_NI_SBC_GW_EST">"c4477"</definedName>
    <definedName name="IQ_NI_SBC_GW_GUIDANCE">"c4479"</definedName>
    <definedName name="IQ_NI_SBC_GW_HIGH_EST">"c4480"</definedName>
    <definedName name="IQ_NI_SBC_GW_HIGH_GUIDANCE">"c4187"</definedName>
    <definedName name="IQ_NI_SBC_GW_LOW_EST">"c4481"</definedName>
    <definedName name="IQ_NI_SBC_GW_LOW_GUIDANCE">"c4227"</definedName>
    <definedName name="IQ_NI_SBC_GW_MEDIAN_EST">"c4482"</definedName>
    <definedName name="IQ_NI_SBC_GW_NUM_EST">"c4483"</definedName>
    <definedName name="IQ_NI_SBC_GW_STDDEV_EST">"c4484"</definedName>
    <definedName name="IQ_NI_SBC_HIGH_EST">"c4486"</definedName>
    <definedName name="IQ_NI_SBC_HIGH_GUIDANCE">"c4186"</definedName>
    <definedName name="IQ_NI_SBC_LOW_EST">"c4487"</definedName>
    <definedName name="IQ_NI_SBC_LOW_GUIDANCE">"c4226"</definedName>
    <definedName name="IQ_NI_SBC_MEDIAN_EST">"c4488"</definedName>
    <definedName name="IQ_NI_SBC_NUM_EST">"c4489"</definedName>
    <definedName name="IQ_NI_SBC_STDDEV_EST">"c4490"</definedName>
    <definedName name="IQ_NI_SFAS">"c795"</definedName>
    <definedName name="IQ_NI_STDDEV_EST">"c1721"</definedName>
    <definedName name="IQ_NI_STDDEV_EST_REUT">"c5373"</definedName>
    <definedName name="IQ_NOL_CF_1YR">"c3465"</definedName>
    <definedName name="IQ_NOL_CF_2YR">"c3466"</definedName>
    <definedName name="IQ_NOL_CF_3YR">"c3467"</definedName>
    <definedName name="IQ_NOL_CF_4YR">"c3468"</definedName>
    <definedName name="IQ_NOL_CF_5YR">"c3469"</definedName>
    <definedName name="IQ_NOL_CF_AFTER_FIVE">"c3470"</definedName>
    <definedName name="IQ_NOL_CF_MAX_YEAR">"c3473"</definedName>
    <definedName name="IQ_NOL_CF_NO_EXP">"c3471"</definedName>
    <definedName name="IQ_NOL_CF_TOTAL">"c3472"</definedName>
    <definedName name="IQ_NON_ACCRUAL_LOANS">"c796"</definedName>
    <definedName name="IQ_NON_CASH">"c1399"</definedName>
    <definedName name="IQ_NON_CASH_ITEMS">"c797"</definedName>
    <definedName name="IQ_NON_INS_EXP">"c798"</definedName>
    <definedName name="IQ_NON_INS_REV">"c799"</definedName>
    <definedName name="IQ_NON_INT_BEAR_CD">"c800"</definedName>
    <definedName name="IQ_NON_INT_EXP">"c801"</definedName>
    <definedName name="IQ_NON_INT_INC">"c802"</definedName>
    <definedName name="IQ_NON_INT_INC_10YR_ANN_GROWTH">"c803"</definedName>
    <definedName name="IQ_NON_INT_INC_1YR_ANN_GROWTH">"c804"</definedName>
    <definedName name="IQ_NON_INT_INC_2YR_ANN_GROWTH">"c805"</definedName>
    <definedName name="IQ_NON_INT_INC_3YR_ANN_GROWTH">"c806"</definedName>
    <definedName name="IQ_NON_INT_INC_5YR_ANN_GROWTH">"c807"</definedName>
    <definedName name="IQ_NON_INT_INC_7YR_ANN_GROWTH">"c808"</definedName>
    <definedName name="IQ_NON_INTEREST_EXP">"c1400"</definedName>
    <definedName name="IQ_NON_INTEREST_INC">"c1401"</definedName>
    <definedName name="IQ_NON_OPER_EXP">"c809"</definedName>
    <definedName name="IQ_NON_OPER_INC">"c810"</definedName>
    <definedName name="IQ_NON_PERF_ASSETS_10YR_ANN_GROWTH">"c811"</definedName>
    <definedName name="IQ_NON_PERF_ASSETS_1YR_ANN_GROWTH">"c812"</definedName>
    <definedName name="IQ_NON_PERF_ASSETS_2YR_ANN_GROWTH">"c813"</definedName>
    <definedName name="IQ_NON_PERF_ASSETS_3YR_ANN_GROWTH">"c814"</definedName>
    <definedName name="IQ_NON_PERF_ASSETS_5YR_ANN_GROWTH">"c815"</definedName>
    <definedName name="IQ_NON_PERF_ASSETS_7YR_ANN_GROWTH">"c816"</definedName>
    <definedName name="IQ_NON_PERF_ASSETS_TOTAL_ASSETS">"c817"</definedName>
    <definedName name="IQ_NON_PERF_LOANS_10YR_ANN_GROWTH">"c818"</definedName>
    <definedName name="IQ_NON_PERF_LOANS_1YR_ANN_GROWTH">"c819"</definedName>
    <definedName name="IQ_NON_PERF_LOANS_2YR_ANN_GROWTH">"c820"</definedName>
    <definedName name="IQ_NON_PERF_LOANS_3YR_ANN_GROWTH">"c821"</definedName>
    <definedName name="IQ_NON_PERF_LOANS_5YR_ANN_GROWTH">"c822"</definedName>
    <definedName name="IQ_NON_PERF_LOANS_7YR_ANN_GROWTH">"c823"</definedName>
    <definedName name="IQ_NON_PERF_LOANS_TOTAL_ASSETS">"c824"</definedName>
    <definedName name="IQ_NON_PERF_LOANS_TOTAL_LOANS">"c825"</definedName>
    <definedName name="IQ_NON_PERFORMING_ASSETS">"c826"</definedName>
    <definedName name="IQ_NON_PERFORMING_LOANS">"c827"</definedName>
    <definedName name="IQ_NONCASH_PENSION_EXP">"c3000"</definedName>
    <definedName name="IQ_NONRECOURSE_DEBT">"c2550"</definedName>
    <definedName name="IQ_NONRECOURSE_DEBT_PCT">"c2551"</definedName>
    <definedName name="IQ_NONRES_FIXED_INVEST_PRIV_APR_FC_UNUSED_UNUSED_UNUSED">"c8468"</definedName>
    <definedName name="IQ_NONRES_FIXED_INVEST_PRIV_APR_UNUSED_UNUSED_UNUSED">"c7588"</definedName>
    <definedName name="IQ_NONRES_FIXED_INVEST_PRIV_FC_UNUSED_UNUSED_UNUSED">"c7808"</definedName>
    <definedName name="IQ_NONRES_FIXED_INVEST_PRIV_POP_FC_UNUSED_UNUSED_UNUSED">"c8028"</definedName>
    <definedName name="IQ_NONRES_FIXED_INVEST_PRIV_POP_UNUSED_UNUSED_UNUSED">"c7148"</definedName>
    <definedName name="IQ_NONRES_FIXED_INVEST_PRIV_UNUSED_UNUSED_UNUSED">"c6928"</definedName>
    <definedName name="IQ_NONRES_FIXED_INVEST_PRIV_YOY_FC_UNUSED_UNUSED_UNUSED">"c8248"</definedName>
    <definedName name="IQ_NONRES_FIXED_INVEST_PRIV_YOY_UNUSED_UNUSED_UNUSED">"c7368"</definedName>
    <definedName name="IQ_NONUTIL_REV">"c2089"</definedName>
    <definedName name="IQ_NORM_EPS_ACT_OR_EST">"c2249"</definedName>
    <definedName name="IQ_NORM_EPS_ACT_OR_EST_REUT">"c5472"</definedName>
    <definedName name="IQ_NORMAL_INC_AFTER">"c1605"</definedName>
    <definedName name="IQ_NORMAL_INC_AVAIL">"c1606"</definedName>
    <definedName name="IQ_NORMAL_INC_BEFORE">"c1607"</definedName>
    <definedName name="IQ_NOTES_PAY">"c1423"</definedName>
    <definedName name="IQ_NOW_ACCOUNT">"c828"</definedName>
    <definedName name="IQ_NPPE">"c829"</definedName>
    <definedName name="IQ_NPPE_10YR_ANN_GROWTH">"c830"</definedName>
    <definedName name="IQ_NPPE_1YR_ANN_GROWTH">"c831"</definedName>
    <definedName name="IQ_NPPE_2YR_ANN_GROWTH">"c832"</definedName>
    <definedName name="IQ_NPPE_3YR_ANN_GROWTH">"c833"</definedName>
    <definedName name="IQ_NPPE_5YR_ANN_GROWTH">"c834"</definedName>
    <definedName name="IQ_NPPE_7YR_ANN_GROWTH">"c835"</definedName>
    <definedName name="IQ_NTM">6000</definedName>
    <definedName name="IQ_NUKE">"c836"</definedName>
    <definedName name="IQ_NUKE_CF">"c837"</definedName>
    <definedName name="IQ_NUKE_CONTR">"c838"</definedName>
    <definedName name="IQ_NUM_BRANCHES">"c2088"</definedName>
    <definedName name="IQ_NUMBER_ADRHOLDERS">"c1970"</definedName>
    <definedName name="IQ_NUMBER_DAYS">"c1904"</definedName>
    <definedName name="IQ_NUMBER_SHAREHOLDERS">"c1967"</definedName>
    <definedName name="IQ_NUMBER_SHAREHOLDERS_CLASSA">"c1968"</definedName>
    <definedName name="IQ_NUMBER_SHAREHOLDERS_OTHER">"c1969"</definedName>
    <definedName name="IQ_OCCUPY_EXP">"c839"</definedName>
    <definedName name="IQ_OFFER_AMOUNT">"c2152"</definedName>
    <definedName name="IQ_OFFER_COUPON">"c2147"</definedName>
    <definedName name="IQ_OFFER_COUPON_TYPE">"c2148"</definedName>
    <definedName name="IQ_OFFER_DATE">"c2149"</definedName>
    <definedName name="IQ_OFFER_PRICE">"c2150"</definedName>
    <definedName name="IQ_OFFER_YIELD">"c2151"</definedName>
    <definedName name="IQ_OG_10DISC">"c1998"</definedName>
    <definedName name="IQ_OG_10DISC_GAS">"c2018"</definedName>
    <definedName name="IQ_OG_10DISC_OIL">"c2008"</definedName>
    <definedName name="IQ_OG_ACQ_COST_PROVED">"c1975"</definedName>
    <definedName name="IQ_OG_ACQ_COST_PROVED_GAS">"c1987"</definedName>
    <definedName name="IQ_OG_ACQ_COST_PROVED_OIL">"c1981"</definedName>
    <definedName name="IQ_OG_ACQ_COST_UNPROVED">"c1976"</definedName>
    <definedName name="IQ_OG_ACQ_COST_UNPROVED_GAS">"c1988"</definedName>
    <definedName name="IQ_OG_ACQ_COST_UNPROVED_OIL">"c1982"</definedName>
    <definedName name="IQ_OG_AVG_DAILY_PROD_GAS">"c2910"</definedName>
    <definedName name="IQ_OG_AVG_DAILY_PROD_NGL">"c2911"</definedName>
    <definedName name="IQ_OG_AVG_DAILY_PROD_OIL">"c2909"</definedName>
    <definedName name="IQ_OG_CLOSE_BALANCE_GAS">"c2049"</definedName>
    <definedName name="IQ_OG_CLOSE_BALANCE_NGL">"c2920"</definedName>
    <definedName name="IQ_OG_CLOSE_BALANCE_OIL">"c2037"</definedName>
    <definedName name="IQ_OG_DCF_BEFORE_TAXES">"c2023"</definedName>
    <definedName name="IQ_OG_DCF_BEFORE_TAXES_GAS">"c2025"</definedName>
    <definedName name="IQ_OG_DCF_BEFORE_TAXES_OIL">"c2024"</definedName>
    <definedName name="IQ_OG_DEVELOPED_RESERVES_GAS">"c2053"</definedName>
    <definedName name="IQ_OG_DEVELOPED_RESERVES_NGL">"c2922"</definedName>
    <definedName name="IQ_OG_DEVELOPED_RESERVES_OIL">"c2054"</definedName>
    <definedName name="IQ_OG_DEVELOPMENT_COSTS">"c1978"</definedName>
    <definedName name="IQ_OG_DEVELOPMENT_COSTS_GAS">"c1990"</definedName>
    <definedName name="IQ_OG_DEVELOPMENT_COSTS_OIL">"c1984"</definedName>
    <definedName name="IQ_OG_EQUITY_DCF">"c2002"</definedName>
    <definedName name="IQ_OG_EQUITY_DCF_GAS">"c2022"</definedName>
    <definedName name="IQ_OG_EQUITY_DCF_OIL">"c2012"</definedName>
    <definedName name="IQ_OG_EQUTY_RESERVES_GAS">"c2050"</definedName>
    <definedName name="IQ_OG_EQUTY_RESERVES_NGL">"c2921"</definedName>
    <definedName name="IQ_OG_EQUTY_RESERVES_OIL">"c2038"</definedName>
    <definedName name="IQ_OG_EXPLORATION_COSTS">"c1977"</definedName>
    <definedName name="IQ_OG_EXPLORATION_COSTS_GAS">"c1989"</definedName>
    <definedName name="IQ_OG_EXPLORATION_COSTS_OIL">"c1983"</definedName>
    <definedName name="IQ_OG_EXT_DISC_GAS">"c2043"</definedName>
    <definedName name="IQ_OG_EXT_DISC_NGL">"c2914"</definedName>
    <definedName name="IQ_OG_EXT_DISC_OIL">"c2031"</definedName>
    <definedName name="IQ_OG_FUTURE_CASH_INFLOWS">"c1993"</definedName>
    <definedName name="IQ_OG_FUTURE_CASH_INFLOWS_GAS">"c2013"</definedName>
    <definedName name="IQ_OG_FUTURE_CASH_INFLOWS_OIL">"c2003"</definedName>
    <definedName name="IQ_OG_FUTURE_DEVELOPMENT_COSTS">"c1995"</definedName>
    <definedName name="IQ_OG_FUTURE_DEVELOPMENT_COSTS_GAS">"c2015"</definedName>
    <definedName name="IQ_OG_FUTURE_DEVELOPMENT_COSTS_OIL">"c2005"</definedName>
    <definedName name="IQ_OG_FUTURE_INC_TAXES">"c1997"</definedName>
    <definedName name="IQ_OG_FUTURE_INC_TAXES_GAS">"c2017"</definedName>
    <definedName name="IQ_OG_FUTURE_INC_TAXES_OIL">"c2007"</definedName>
    <definedName name="IQ_OG_FUTURE_PRODUCTION_COSTS">"c1994"</definedName>
    <definedName name="IQ_OG_FUTURE_PRODUCTION_COSTS_GAS">"c2014"</definedName>
    <definedName name="IQ_OG_FUTURE_PRODUCTION_COSTS_OIL">"c2004"</definedName>
    <definedName name="IQ_OG_GAS_PRICE_HEDGED">"c2056"</definedName>
    <definedName name="IQ_OG_GAS_PRICE_UNHEDGED">"c2058"</definedName>
    <definedName name="IQ_OG_IMPROVED_RECOVERY_GAS">"c2044"</definedName>
    <definedName name="IQ_OG_IMPROVED_RECOVERY_NGL">"c2915"</definedName>
    <definedName name="IQ_OG_IMPROVED_RECOVERY_OIL">"c2032"</definedName>
    <definedName name="IQ_OG_LIQUID_GAS_PRICE_HEDGED">"c2233"</definedName>
    <definedName name="IQ_OG_LIQUID_GAS_PRICE_UNHEDGED">"c2234"</definedName>
    <definedName name="IQ_OG_NET_FUTURE_CASH_FLOWS">"c1996"</definedName>
    <definedName name="IQ_OG_NET_FUTURE_CASH_FLOWS_GAS">"c2016"</definedName>
    <definedName name="IQ_OG_NET_FUTURE_CASH_FLOWS_OIL">"c2006"</definedName>
    <definedName name="IQ_OG_OIL_PRICE_HEDGED">"c2055"</definedName>
    <definedName name="IQ_OG_OIL_PRICE_UNHEDGED">"c2057"</definedName>
    <definedName name="IQ_OG_OPEN_BALANCE_GAS">"c2041"</definedName>
    <definedName name="IQ_OG_OPEN_BALANCE_NGL">"c2912"</definedName>
    <definedName name="IQ_OG_OPEN_BALANCE_OIL">"c2029"</definedName>
    <definedName name="IQ_OG_OTHER_ADJ_FCF">"c1999"</definedName>
    <definedName name="IQ_OG_OTHER_ADJ_FCF_GAS">"c2019"</definedName>
    <definedName name="IQ_OG_OTHER_ADJ_FCF_OIL">"c2009"</definedName>
    <definedName name="IQ_OG_OTHER_ADJ_GAS">"c2048"</definedName>
    <definedName name="IQ_OG_OTHER_ADJ_NGL">"c2919"</definedName>
    <definedName name="IQ_OG_OTHER_ADJ_OIL">"c2036"</definedName>
    <definedName name="IQ_OG_OTHER_COSTS">"c1979"</definedName>
    <definedName name="IQ_OG_OTHER_COSTS_GAS">"c1991"</definedName>
    <definedName name="IQ_OG_OTHER_COSTS_OIL">"c1985"</definedName>
    <definedName name="IQ_OG_PRODUCTION_GAS">"c2047"</definedName>
    <definedName name="IQ_OG_PRODUCTION_NGL">"c2918"</definedName>
    <definedName name="IQ_OG_PRODUCTION_OIL">"c2035"</definedName>
    <definedName name="IQ_OG_PURCHASES_GAS">"c2045"</definedName>
    <definedName name="IQ_OG_PURCHASES_NGL">"c2916"</definedName>
    <definedName name="IQ_OG_PURCHASES_OIL">"c2033"</definedName>
    <definedName name="IQ_OG_REVISIONS_GAS">"c2042"</definedName>
    <definedName name="IQ_OG_REVISIONS_NGL">"c2913"</definedName>
    <definedName name="IQ_OG_REVISIONS_OIL">"c2030"</definedName>
    <definedName name="IQ_OG_SALES_IN_PLACE_GAS">"c2046"</definedName>
    <definedName name="IQ_OG_SALES_IN_PLACE_NGL">"c2917"</definedName>
    <definedName name="IQ_OG_SALES_IN_PLACE_OIL">"c2034"</definedName>
    <definedName name="IQ_OG_STANDARDIZED_DCF">"c2000"</definedName>
    <definedName name="IQ_OG_STANDARDIZED_DCF_GAS">"c2020"</definedName>
    <definedName name="IQ_OG_STANDARDIZED_DCF_HEDGED">"c2001"</definedName>
    <definedName name="IQ_OG_STANDARDIZED_DCF_HEDGED_GAS">"c2021"</definedName>
    <definedName name="IQ_OG_STANDARDIZED_DCF_HEDGED_OIL">"c2011"</definedName>
    <definedName name="IQ_OG_STANDARDIZED_DCF_OIL">"c2010"</definedName>
    <definedName name="IQ_OG_TAXES">"c2026"</definedName>
    <definedName name="IQ_OG_TAXES_GAS">"c2028"</definedName>
    <definedName name="IQ_OG_TAXES_OIL">"c2027"</definedName>
    <definedName name="IQ_OG_TOTAL_COSTS">"c1980"</definedName>
    <definedName name="IQ_OG_TOTAL_COSTS_GAS">"c1992"</definedName>
    <definedName name="IQ_OG_TOTAL_COSTS_OIL">"c1986"</definedName>
    <definedName name="IQ_OG_TOTAL_EST_PROVED_RESERVES_GAS">"c2052"</definedName>
    <definedName name="IQ_OG_TOTAL_GAS_PRODUCTION">"c2060"</definedName>
    <definedName name="IQ_OG_TOTAL_LIQUID_GAS_PRODUCTION">"c2235"</definedName>
    <definedName name="IQ_OG_TOTAL_OIL_PRODUCTION">"c2059"</definedName>
    <definedName name="IQ_OG_TOTAL_OIL_PRODUCTON">"c2059"</definedName>
    <definedName name="IQ_OG_UNDEVELOPED_RESERVES_GAS">"c2051"</definedName>
    <definedName name="IQ_OG_UNDEVELOPED_RESERVES_NGL">"c2923"</definedName>
    <definedName name="IQ_OG_UNDEVELOPED_RESERVES_OIL">"c2039"</definedName>
    <definedName name="IQ_OIL_IMPAIR">"c840"</definedName>
    <definedName name="IQ_OL_COMM_AFTER_FIVE">"c841"</definedName>
    <definedName name="IQ_OL_COMM_CY">"c842"</definedName>
    <definedName name="IQ_OL_COMM_CY1">"c843"</definedName>
    <definedName name="IQ_OL_COMM_CY2">"c844"</definedName>
    <definedName name="IQ_OL_COMM_CY3">"c845"</definedName>
    <definedName name="IQ_OL_COMM_CY4">"c846"</definedName>
    <definedName name="IQ_OL_COMM_NEXT_FIVE">"c847"</definedName>
    <definedName name="IQ_OPEB_ACCRUED_LIAB">"c3308"</definedName>
    <definedName name="IQ_OPEB_ACCRUED_LIAB_DOM">"c3306"</definedName>
    <definedName name="IQ_OPEB_ACCRUED_LIAB_FOREIGN">"c3307"</definedName>
    <definedName name="IQ_OPEB_ACCUM_OTHER_CI">"c3314"</definedName>
    <definedName name="IQ_OPEB_ACCUM_OTHER_CI_DOM">"c3312"</definedName>
    <definedName name="IQ_OPEB_ACCUM_OTHER_CI_FOREIGN">"c3313"</definedName>
    <definedName name="IQ_OPEB_ASSETS">"c3356"</definedName>
    <definedName name="IQ_OPEB_ASSETS_ACQ">"c3347"</definedName>
    <definedName name="IQ_OPEB_ASSETS_ACQ_DOM">"c3345"</definedName>
    <definedName name="IQ_OPEB_ASSETS_ACQ_FOREIGN">"c3346"</definedName>
    <definedName name="IQ_OPEB_ASSETS_ACTUAL_RETURN">"c3332"</definedName>
    <definedName name="IQ_OPEB_ASSETS_ACTUAL_RETURN_DOM">"c3330"</definedName>
    <definedName name="IQ_OPEB_ASSETS_ACTUAL_RETURN_FOREIGN">"c3331"</definedName>
    <definedName name="IQ_OPEB_ASSETS_BEG">"c3329"</definedName>
    <definedName name="IQ_OPEB_ASSETS_BEG_DOM">"c3327"</definedName>
    <definedName name="IQ_OPEB_ASSETS_BEG_FOREIGN">"c3328"</definedName>
    <definedName name="IQ_OPEB_ASSETS_BENEFITS_PAID">"c3341"</definedName>
    <definedName name="IQ_OPEB_ASSETS_BENEFITS_PAID_DOM">"c3339"</definedName>
    <definedName name="IQ_OPEB_ASSETS_BENEFITS_PAID_FOREIGN">"c3340"</definedName>
    <definedName name="IQ_OPEB_ASSETS_CURTAIL">"c3350"</definedName>
    <definedName name="IQ_OPEB_ASSETS_CURTAIL_DOM">"c3348"</definedName>
    <definedName name="IQ_OPEB_ASSETS_CURTAIL_FOREIGN">"c3349"</definedName>
    <definedName name="IQ_OPEB_ASSETS_DOM">"c3354"</definedName>
    <definedName name="IQ_OPEB_ASSETS_EMPLOYER_CONTRIBUTIONS">"c3335"</definedName>
    <definedName name="IQ_OPEB_ASSETS_EMPLOYER_CONTRIBUTIONS_DOM">"c3333"</definedName>
    <definedName name="IQ_OPEB_ASSETS_EMPLOYER_CONTRIBUTIONS_FOREIGN">"c3334"</definedName>
    <definedName name="IQ_OPEB_ASSETS_FOREIGN">"c3355"</definedName>
    <definedName name="IQ_OPEB_ASSETS_FX_ADJ">"c3344"</definedName>
    <definedName name="IQ_OPEB_ASSETS_FX_ADJ_DOM">"c3342"</definedName>
    <definedName name="IQ_OPEB_ASSETS_FX_ADJ_FOREIGN">"c3343"</definedName>
    <definedName name="IQ_OPEB_ASSETS_OTHER_PLAN_ADJ">"c3353"</definedName>
    <definedName name="IQ_OPEB_ASSETS_OTHER_PLAN_ADJ_DOM">"c3351"</definedName>
    <definedName name="IQ_OPEB_ASSETS_OTHER_PLAN_ADJ_FOREIGN">"c3352"</definedName>
    <definedName name="IQ_OPEB_ASSETS_PARTICIP_CONTRIBUTIONS">"c3338"</definedName>
    <definedName name="IQ_OPEB_ASSETS_PARTICIP_CONTRIBUTIONS_DOM">"c3336"</definedName>
    <definedName name="IQ_OPEB_ASSETS_PARTICIP_CONTRIBUTIONS_FOREIGN">"c3337"</definedName>
    <definedName name="IQ_OPEB_BENEFIT_INFO_DATE">"c3410"</definedName>
    <definedName name="IQ_OPEB_BENEFIT_INFO_DATE_DOM">"c3408"</definedName>
    <definedName name="IQ_OPEB_BENEFIT_INFO_DATE_FOREIGN">"c3409"</definedName>
    <definedName name="IQ_OPEB_BREAKDOWN_EQ">"c3275"</definedName>
    <definedName name="IQ_OPEB_BREAKDOWN_EQ_DOM">"c3273"</definedName>
    <definedName name="IQ_OPEB_BREAKDOWN_EQ_FOREIGN">"c3274"</definedName>
    <definedName name="IQ_OPEB_BREAKDOWN_FI">"c3278"</definedName>
    <definedName name="IQ_OPEB_BREAKDOWN_FI_DOM">"c3276"</definedName>
    <definedName name="IQ_OPEB_BREAKDOWN_FI_FOREIGN">"c3277"</definedName>
    <definedName name="IQ_OPEB_BREAKDOWN_OTHER">"c3284"</definedName>
    <definedName name="IQ_OPEB_BREAKDOWN_OTHER_DOM">"c3282"</definedName>
    <definedName name="IQ_OPEB_BREAKDOWN_OTHER_FOREIGN">"c3283"</definedName>
    <definedName name="IQ_OPEB_BREAKDOWN_PCT_EQ">"c3263"</definedName>
    <definedName name="IQ_OPEB_BREAKDOWN_PCT_EQ_DOM">"c3261"</definedName>
    <definedName name="IQ_OPEB_BREAKDOWN_PCT_EQ_FOREIGN">"c3262"</definedName>
    <definedName name="IQ_OPEB_BREAKDOWN_PCT_FI">"c3266"</definedName>
    <definedName name="IQ_OPEB_BREAKDOWN_PCT_FI_DOM">"c3264"</definedName>
    <definedName name="IQ_OPEB_BREAKDOWN_PCT_FI_FOREIGN">"c3265"</definedName>
    <definedName name="IQ_OPEB_BREAKDOWN_PCT_OTHER">"c3272"</definedName>
    <definedName name="IQ_OPEB_BREAKDOWN_PCT_OTHER_DOM">"c3270"</definedName>
    <definedName name="IQ_OPEB_BREAKDOWN_PCT_OTHER_FOREIGN">"c3271"</definedName>
    <definedName name="IQ_OPEB_BREAKDOWN_PCT_RE">"c3269"</definedName>
    <definedName name="IQ_OPEB_BREAKDOWN_PCT_RE_DOM">"c3267"</definedName>
    <definedName name="IQ_OPEB_BREAKDOWN_PCT_RE_FOREIGN">"c3268"</definedName>
    <definedName name="IQ_OPEB_BREAKDOWN_RE">"c3281"</definedName>
    <definedName name="IQ_OPEB_BREAKDOWN_RE_DOM">"c3279"</definedName>
    <definedName name="IQ_OPEB_BREAKDOWN_RE_FOREIGN">"c3280"</definedName>
    <definedName name="IQ_OPEB_DECREASE_EFFECT_PBO">"c3458"</definedName>
    <definedName name="IQ_OPEB_DECREASE_EFFECT_PBO_DOM">"c3456"</definedName>
    <definedName name="IQ_OPEB_DECREASE_EFFECT_PBO_FOREIGN">"c3457"</definedName>
    <definedName name="IQ_OPEB_DECREASE_EFFECT_SERVICE_INT_COST">"c3455"</definedName>
    <definedName name="IQ_OPEB_DECREASE_EFFECT_SERVICE_INT_COST_DOM">"c3453"</definedName>
    <definedName name="IQ_OPEB_DECREASE_EFFECT_SERVICE_INT_COST_FOREIGN">"c3454"</definedName>
    <definedName name="IQ_OPEB_DISC_RATE_MAX">"c3422"</definedName>
    <definedName name="IQ_OPEB_DISC_RATE_MAX_DOM">"c3420"</definedName>
    <definedName name="IQ_OPEB_DISC_RATE_MAX_FOREIGN">"c3421"</definedName>
    <definedName name="IQ_OPEB_DISC_RATE_MIN">"c3419"</definedName>
    <definedName name="IQ_OPEB_DISC_RATE_MIN_DOM">"c3417"</definedName>
    <definedName name="IQ_OPEB_DISC_RATE_MIN_FOREIGN">"c3418"</definedName>
    <definedName name="IQ_OPEB_EST_BENEFIT_1YR">"c3287"</definedName>
    <definedName name="IQ_OPEB_EST_BENEFIT_1YR_DOM">"c3285"</definedName>
    <definedName name="IQ_OPEB_EST_BENEFIT_1YR_FOREIGN">"c3286"</definedName>
    <definedName name="IQ_OPEB_EST_BENEFIT_2YR">"c3290"</definedName>
    <definedName name="IQ_OPEB_EST_BENEFIT_2YR_DOM">"c3288"</definedName>
    <definedName name="IQ_OPEB_EST_BENEFIT_2YR_FOREIGN">"c3289"</definedName>
    <definedName name="IQ_OPEB_EST_BENEFIT_3YR">"c3293"</definedName>
    <definedName name="IQ_OPEB_EST_BENEFIT_3YR_DOM">"c3291"</definedName>
    <definedName name="IQ_OPEB_EST_BENEFIT_3YR_FOREIGN">"c3292"</definedName>
    <definedName name="IQ_OPEB_EST_BENEFIT_4YR">"c3296"</definedName>
    <definedName name="IQ_OPEB_EST_BENEFIT_4YR_DOM">"c3294"</definedName>
    <definedName name="IQ_OPEB_EST_BENEFIT_4YR_FOREIGN">"c3295"</definedName>
    <definedName name="IQ_OPEB_EST_BENEFIT_5YR">"c3299"</definedName>
    <definedName name="IQ_OPEB_EST_BENEFIT_5YR_DOM">"c3297"</definedName>
    <definedName name="IQ_OPEB_EST_BENEFIT_5YR_FOREIGN">"c3298"</definedName>
    <definedName name="IQ_OPEB_EST_BENEFIT_AFTER5">"c3302"</definedName>
    <definedName name="IQ_OPEB_EST_BENEFIT_AFTER5_DOM">"c3300"</definedName>
    <definedName name="IQ_OPEB_EST_BENEFIT_AFTER5_FOREIGN">"c3301"</definedName>
    <definedName name="IQ_OPEB_EXP_RATE_RETURN_MAX">"c3434"</definedName>
    <definedName name="IQ_OPEB_EXP_RATE_RETURN_MAX_DOM">"c3432"</definedName>
    <definedName name="IQ_OPEB_EXP_RATE_RETURN_MAX_FOREIGN">"c3433"</definedName>
    <definedName name="IQ_OPEB_EXP_RATE_RETURN_MIN">"c3431"</definedName>
    <definedName name="IQ_OPEB_EXP_RATE_RETURN_MIN_DOM">"c3429"</definedName>
    <definedName name="IQ_OPEB_EXP_RATE_RETURN_MIN_FOREIGN">"c3430"</definedName>
    <definedName name="IQ_OPEB_EXP_RETURN">"c3398"</definedName>
    <definedName name="IQ_OPEB_EXP_RETURN_DOM">"c3396"</definedName>
    <definedName name="IQ_OPEB_EXP_RETURN_FOREIGN">"c3397"</definedName>
    <definedName name="IQ_OPEB_HEALTH_COST_TREND_INITIAL">"c3413"</definedName>
    <definedName name="IQ_OPEB_HEALTH_COST_TREND_INITIAL_DOM">"c3411"</definedName>
    <definedName name="IQ_OPEB_HEALTH_COST_TREND_INITIAL_FOREIGN">"c3412"</definedName>
    <definedName name="IQ_OPEB_HEALTH_COST_TREND_ULTIMATE">"c3416"</definedName>
    <definedName name="IQ_OPEB_HEALTH_COST_TREND_ULTIMATE_DOM">"c3414"</definedName>
    <definedName name="IQ_OPEB_HEALTH_COST_TREND_ULTIMATE_FOREIGN">"c3415"</definedName>
    <definedName name="IQ_OPEB_INCREASE_EFFECT_PBO">"c3452"</definedName>
    <definedName name="IQ_OPEB_INCREASE_EFFECT_PBO_DOM">"c3450"</definedName>
    <definedName name="IQ_OPEB_INCREASE_EFFECT_PBO_FOREIGN">"c3451"</definedName>
    <definedName name="IQ_OPEB_INCREASE_EFFECT_SERVICE_INT_COST">"c3449"</definedName>
    <definedName name="IQ_OPEB_INCREASE_EFFECT_SERVICE_INT_COST_DOM">"c3447"</definedName>
    <definedName name="IQ_OPEB_INCREASE_EFFECT_SERVICE_INT_COST_FOREIGN">"c3448"</definedName>
    <definedName name="IQ_OPEB_INTAN_ASSETS">"c3311"</definedName>
    <definedName name="IQ_OPEB_INTAN_ASSETS_DOM">"c3309"</definedName>
    <definedName name="IQ_OPEB_INTAN_ASSETS_FOREIGN">"c3310"</definedName>
    <definedName name="IQ_OPEB_INTEREST_COST">"c3395"</definedName>
    <definedName name="IQ_OPEB_INTEREST_COST_DOM">"c3393"</definedName>
    <definedName name="IQ_OPEB_INTEREST_COST_FOREIGN">"c3394"</definedName>
    <definedName name="IQ_OPEB_NET_ASSET_RECOG">"c3326"</definedName>
    <definedName name="IQ_OPEB_NET_ASSET_RECOG_DOM">"c3324"</definedName>
    <definedName name="IQ_OPEB_NET_ASSET_RECOG_FOREIGN">"c3325"</definedName>
    <definedName name="IQ_OPEB_OBLIGATION_ACCUMULATED">"c3407"</definedName>
    <definedName name="IQ_OPEB_OBLIGATION_ACCUMULATED_DOM">"c3405"</definedName>
    <definedName name="IQ_OPEB_OBLIGATION_ACCUMULATED_FOREIGN">"c3406"</definedName>
    <definedName name="IQ_OPEB_OBLIGATION_ACQ">"c3380"</definedName>
    <definedName name="IQ_OPEB_OBLIGATION_ACQ_DOM">"c3378"</definedName>
    <definedName name="IQ_OPEB_OBLIGATION_ACQ_FOREIGN">"c3379"</definedName>
    <definedName name="IQ_OPEB_OBLIGATION_ACTUARIAL_GAIN_LOSS">"c3371"</definedName>
    <definedName name="IQ_OPEB_OBLIGATION_ACTUARIAL_GAIN_LOSS_DOM">"c3369"</definedName>
    <definedName name="IQ_OPEB_OBLIGATION_ACTUARIAL_GAIN_LOSS_FOREIGN">"c3370"</definedName>
    <definedName name="IQ_OPEB_OBLIGATION_BEG">"c3359"</definedName>
    <definedName name="IQ_OPEB_OBLIGATION_BEG_DOM">"c3357"</definedName>
    <definedName name="IQ_OPEB_OBLIGATION_BEG_FOREIGN">"c3358"</definedName>
    <definedName name="IQ_OPEB_OBLIGATION_CURTAIL">"c3383"</definedName>
    <definedName name="IQ_OPEB_OBLIGATION_CURTAIL_DOM">"c3381"</definedName>
    <definedName name="IQ_OPEB_OBLIGATION_CURTAIL_FOREIGN">"c3382"</definedName>
    <definedName name="IQ_OPEB_OBLIGATION_EMPLOYEE_CONTRIBUTIONS">"c3368"</definedName>
    <definedName name="IQ_OPEB_OBLIGATION_EMPLOYEE_CONTRIBUTIONS_DOM">"c3366"</definedName>
    <definedName name="IQ_OPEB_OBLIGATION_EMPLOYEE_CONTRIBUTIONS_FOREIGN">"c3367"</definedName>
    <definedName name="IQ_OPEB_OBLIGATION_FX_ADJ">"c3377"</definedName>
    <definedName name="IQ_OPEB_OBLIGATION_FX_ADJ_DOM">"c3375"</definedName>
    <definedName name="IQ_OPEB_OBLIGATION_FX_ADJ_FOREIGN">"c3376"</definedName>
    <definedName name="IQ_OPEB_OBLIGATION_INTEREST_COST">"c3365"</definedName>
    <definedName name="IQ_OPEB_OBLIGATION_INTEREST_COST_DOM">"c3363"</definedName>
    <definedName name="IQ_OPEB_OBLIGATION_INTEREST_COST_FOREIGN">"c3364"</definedName>
    <definedName name="IQ_OPEB_OBLIGATION_OTHER_PLAN_ADJ">"c3386"</definedName>
    <definedName name="IQ_OPEB_OBLIGATION_OTHER_PLAN_ADJ_DOM">"c3384"</definedName>
    <definedName name="IQ_OPEB_OBLIGATION_OTHER_PLAN_ADJ_FOREIGN">"c3385"</definedName>
    <definedName name="IQ_OPEB_OBLIGATION_PAID">"c3374"</definedName>
    <definedName name="IQ_OPEB_OBLIGATION_PAID_DOM">"c3372"</definedName>
    <definedName name="IQ_OPEB_OBLIGATION_PAID_FOREIGN">"c3373"</definedName>
    <definedName name="IQ_OPEB_OBLIGATION_PROJECTED">"c3389"</definedName>
    <definedName name="IQ_OPEB_OBLIGATION_PROJECTED_DOM">"c3387"</definedName>
    <definedName name="IQ_OPEB_OBLIGATION_PROJECTED_FOREIGN">"c3388"</definedName>
    <definedName name="IQ_OPEB_OBLIGATION_SERVICE_COST">"c3362"</definedName>
    <definedName name="IQ_OPEB_OBLIGATION_SERVICE_COST_DOM">"c3360"</definedName>
    <definedName name="IQ_OPEB_OBLIGATION_SERVICE_COST_FOREIGN">"c3361"</definedName>
    <definedName name="IQ_OPEB_OTHER">"c3317"</definedName>
    <definedName name="IQ_OPEB_OTHER_ADJ">"c3323"</definedName>
    <definedName name="IQ_OPEB_OTHER_ADJ_DOM">"c3321"</definedName>
    <definedName name="IQ_OPEB_OTHER_ADJ_FOREIGN">"c3322"</definedName>
    <definedName name="IQ_OPEB_OTHER_COST">"c3401"</definedName>
    <definedName name="IQ_OPEB_OTHER_COST_DOM">"c3399"</definedName>
    <definedName name="IQ_OPEB_OTHER_COST_FOREIGN">"c3400"</definedName>
    <definedName name="IQ_OPEB_OTHER_DOM">"c3315"</definedName>
    <definedName name="IQ_OPEB_OTHER_FOREIGN">"c3316"</definedName>
    <definedName name="IQ_OPEB_PBO_ASSUMED_RATE_RET_MAX">"c3440"</definedName>
    <definedName name="IQ_OPEB_PBO_ASSUMED_RATE_RET_MAX_DOM">"c3438"</definedName>
    <definedName name="IQ_OPEB_PBO_ASSUMED_RATE_RET_MAX_FOREIGN">"c3439"</definedName>
    <definedName name="IQ_OPEB_PBO_ASSUMED_RATE_RET_MIN">"c3437"</definedName>
    <definedName name="IQ_OPEB_PBO_ASSUMED_RATE_RET_MIN_DOM">"c3435"</definedName>
    <definedName name="IQ_OPEB_PBO_ASSUMED_RATE_RET_MIN_FOREIGN">"c3436"</definedName>
    <definedName name="IQ_OPEB_PBO_RATE_COMP_INCREASE_MAX">"c3446"</definedName>
    <definedName name="IQ_OPEB_PBO_RATE_COMP_INCREASE_MAX_DOM">"c3444"</definedName>
    <definedName name="IQ_OPEB_PBO_RATE_COMP_INCREASE_MAX_FOREIGN">"c3445"</definedName>
    <definedName name="IQ_OPEB_PBO_RATE_COMP_INCREASE_MIN">"c3443"</definedName>
    <definedName name="IQ_OPEB_PBO_RATE_COMP_INCREASE_MIN_DOM">"c3441"</definedName>
    <definedName name="IQ_OPEB_PBO_RATE_COMP_INCREASE_MIN_FOREIGN">"c3442"</definedName>
    <definedName name="IQ_OPEB_PREPAID_COST">"c3305"</definedName>
    <definedName name="IQ_OPEB_PREPAID_COST_DOM">"c3303"</definedName>
    <definedName name="IQ_OPEB_PREPAID_COST_FOREIGN">"c3304"</definedName>
    <definedName name="IQ_OPEB_RATE_COMP_INCREASE_MAX">"c3428"</definedName>
    <definedName name="IQ_OPEB_RATE_COMP_INCREASE_MAX_DOM">"c3426"</definedName>
    <definedName name="IQ_OPEB_RATE_COMP_INCREASE_MAX_FOREIGN">"c3427"</definedName>
    <definedName name="IQ_OPEB_RATE_COMP_INCREASE_MIN">"c3425"</definedName>
    <definedName name="IQ_OPEB_RATE_COMP_INCREASE_MIN_DOM">"c3423"</definedName>
    <definedName name="IQ_OPEB_RATE_COMP_INCREASE_MIN_FOREIGN">"c3424"</definedName>
    <definedName name="IQ_OPEB_SERVICE_COST">"c3392"</definedName>
    <definedName name="IQ_OPEB_SERVICE_COST_DOM">"c3390"</definedName>
    <definedName name="IQ_OPEB_SERVICE_COST_FOREIGN">"c3391"</definedName>
    <definedName name="IQ_OPEB_TOTAL_COST">"c3404"</definedName>
    <definedName name="IQ_OPEB_TOTAL_COST_DOM">"c3402"</definedName>
    <definedName name="IQ_OPEB_TOTAL_COST_FOREIGN">"c3403"</definedName>
    <definedName name="IQ_OPEB_UNRECOG_PRIOR">"c3320"</definedName>
    <definedName name="IQ_OPEB_UNRECOG_PRIOR_DOM">"c3318"</definedName>
    <definedName name="IQ_OPEB_UNRECOG_PRIOR_FOREIGN">"c3319"</definedName>
    <definedName name="IQ_OPENED55">1</definedName>
    <definedName name="IQ_OPENPRICE">"c848"</definedName>
    <definedName name="IQ_OPER_INC">"c849"</definedName>
    <definedName name="IQ_OPER_INC_ACT_OR_EST">"c2220"</definedName>
    <definedName name="IQ_OPER_INC_ACT_OR_EST_REUT">"c5466"</definedName>
    <definedName name="IQ_OPER_INC_BR">"c850"</definedName>
    <definedName name="IQ_OPER_INC_EST">"c1688"</definedName>
    <definedName name="IQ_OPER_INC_EST_REUT">"c5340"</definedName>
    <definedName name="IQ_OPER_INC_FIN">"c851"</definedName>
    <definedName name="IQ_OPER_INC_HIGH_EST">"c1690"</definedName>
    <definedName name="IQ_OPER_INC_HIGH_EST_REUT">"c5342"</definedName>
    <definedName name="IQ_OPER_INC_INS">"c852"</definedName>
    <definedName name="IQ_OPER_INC_LOW_EST">"c1691"</definedName>
    <definedName name="IQ_OPER_INC_LOW_EST_REUT">"c5343"</definedName>
    <definedName name="IQ_OPER_INC_MARGIN">"c1448"</definedName>
    <definedName name="IQ_OPER_INC_MEDIAN_EST">"c1689"</definedName>
    <definedName name="IQ_OPER_INC_MEDIAN_EST_REUT">"c5341"</definedName>
    <definedName name="IQ_OPER_INC_NUM_EST">"c1692"</definedName>
    <definedName name="IQ_OPER_INC_NUM_EST_REUT">"c5344"</definedName>
    <definedName name="IQ_OPER_INC_REIT">"c853"</definedName>
    <definedName name="IQ_OPER_INC_STDDEV_EST">"c1693"</definedName>
    <definedName name="IQ_OPER_INC_STDDEV_EST_REUT">"c5345"</definedName>
    <definedName name="IQ_OPER_INC_UTI">"c854"</definedName>
    <definedName name="IQ_OPERATIONS_EXP">"c855"</definedName>
    <definedName name="IQ_OPTIONS_BEG_OS">"c1572"</definedName>
    <definedName name="IQ_OPTIONS_CANCELLED">"c856"</definedName>
    <definedName name="IQ_OPTIONS_END_OS">"c1573"</definedName>
    <definedName name="IQ_OPTIONS_EXERCISED">"c2116"</definedName>
    <definedName name="IQ_OPTIONS_GRANTED">"c2673"</definedName>
    <definedName name="IQ_OPTIONS_ISSUED">"c857"</definedName>
    <definedName name="IQ_OPTIONS_STRIKE_PRICE_GRANTED">"c2678"</definedName>
    <definedName name="IQ_OPTIONS_STRIKE_PRICE_OS">"c2677"</definedName>
    <definedName name="IQ_ORDER_BACKLOG">"c2090"</definedName>
    <definedName name="IQ_OTHER_ADJUST_GROSS_LOANS">"c859"</definedName>
    <definedName name="IQ_OTHER_AMORT">"c5563"</definedName>
    <definedName name="IQ_OTHER_AMORT_BNK">"c5565"</definedName>
    <definedName name="IQ_OTHER_AMORT_BR">"c5566"</definedName>
    <definedName name="IQ_OTHER_AMORT_FIN">"c5567"</definedName>
    <definedName name="IQ_OTHER_AMORT_INS">"c5568"</definedName>
    <definedName name="IQ_OTHER_AMORT_REIT">"c5569"</definedName>
    <definedName name="IQ_OTHER_AMORT_UTI">"c5570"</definedName>
    <definedName name="IQ_OTHER_ASSETS">"c860"</definedName>
    <definedName name="IQ_OTHER_ASSETS_BNK">"c861"</definedName>
    <definedName name="IQ_OTHER_ASSETS_BR">"c862"</definedName>
    <definedName name="IQ_OTHER_ASSETS_FIN">"c863"</definedName>
    <definedName name="IQ_OTHER_ASSETS_INS">"c864"</definedName>
    <definedName name="IQ_OTHER_ASSETS_REIT">"c865"</definedName>
    <definedName name="IQ_OTHER_ASSETS_SERV_RIGHTS">"c2243"</definedName>
    <definedName name="IQ_OTHER_ASSETS_UTI">"c866"</definedName>
    <definedName name="IQ_OTHER_BEARING_LIAB">"c1608"</definedName>
    <definedName name="IQ_OTHER_BENEFITS_OBLIGATION">"c867"</definedName>
    <definedName name="IQ_OTHER_CA">"c868"</definedName>
    <definedName name="IQ_OTHER_CA_SUPPL">"c869"</definedName>
    <definedName name="IQ_OTHER_CA_SUPPL_BNK">"c870"</definedName>
    <definedName name="IQ_OTHER_CA_SUPPL_BR">"c871"</definedName>
    <definedName name="IQ_OTHER_CA_SUPPL_FIN">"c872"</definedName>
    <definedName name="IQ_OTHER_CA_SUPPL_INS">"c873"</definedName>
    <definedName name="IQ_OTHER_CA_SUPPL_REIT">"c874"</definedName>
    <definedName name="IQ_OTHER_CA_SUPPL_UTI">"c875"</definedName>
    <definedName name="IQ_OTHER_CA_UTI">"c876"</definedName>
    <definedName name="IQ_OTHER_CL">"c877"</definedName>
    <definedName name="IQ_OTHER_CL_SUPPL">"c878"</definedName>
    <definedName name="IQ_OTHER_CL_SUPPL_BNK">"c879"</definedName>
    <definedName name="IQ_OTHER_CL_SUPPL_BR">"c880"</definedName>
    <definedName name="IQ_OTHER_CL_SUPPL_FIN">"c881"</definedName>
    <definedName name="IQ_OTHER_CL_SUPPL_REIT">"c882"</definedName>
    <definedName name="IQ_OTHER_CL_SUPPL_UTI">"c883"</definedName>
    <definedName name="IQ_OTHER_CL_UTI">"c884"</definedName>
    <definedName name="IQ_OTHER_CURRENT_ASSETS">"c1403"</definedName>
    <definedName name="IQ_OTHER_CURRENT_LIAB">"c1404"</definedName>
    <definedName name="IQ_OTHER_DEBT">"c2507"</definedName>
    <definedName name="IQ_OTHER_DEBT_PCT">"c2508"</definedName>
    <definedName name="IQ_OTHER_DEP">"c885"</definedName>
    <definedName name="IQ_OTHER_EARNING">"c1609"</definedName>
    <definedName name="IQ_OTHER_EQUITY">"c886"</definedName>
    <definedName name="IQ_OTHER_EQUITY_BNK">"c887"</definedName>
    <definedName name="IQ_OTHER_EQUITY_BR">"c888"</definedName>
    <definedName name="IQ_OTHER_EQUITY_FIN">"c889"</definedName>
    <definedName name="IQ_OTHER_EQUITY_INS">"c890"</definedName>
    <definedName name="IQ_OTHER_EQUITY_REIT">"c891"</definedName>
    <definedName name="IQ_OTHER_EQUITY_UTI">"c892"</definedName>
    <definedName name="IQ_OTHER_FINANCE_ACT">"c893"</definedName>
    <definedName name="IQ_OTHER_FINANCE_ACT_BNK">"c894"</definedName>
    <definedName name="IQ_OTHER_FINANCE_ACT_BR">"c895"</definedName>
    <definedName name="IQ_OTHER_FINANCE_ACT_FIN">"c896"</definedName>
    <definedName name="IQ_OTHER_FINANCE_ACT_INS">"c897"</definedName>
    <definedName name="IQ_OTHER_FINANCE_ACT_REIT">"c898"</definedName>
    <definedName name="IQ_OTHER_FINANCE_ACT_SUPPL">"c899"</definedName>
    <definedName name="IQ_OTHER_FINANCE_ACT_SUPPL_BNK">"c900"</definedName>
    <definedName name="IQ_OTHER_FINANCE_ACT_SUPPL_BR">"c901"</definedName>
    <definedName name="IQ_OTHER_FINANCE_ACT_SUPPL_FIN">"c902"</definedName>
    <definedName name="IQ_OTHER_FINANCE_ACT_SUPPL_INS">"c903"</definedName>
    <definedName name="IQ_OTHER_FINANCE_ACT_SUPPL_REIT">"c904"</definedName>
    <definedName name="IQ_OTHER_FINANCE_ACT_SUPPL_UTI">"c905"</definedName>
    <definedName name="IQ_OTHER_FINANCE_ACT_UTI">"c906"</definedName>
    <definedName name="IQ_OTHER_INTAN">"c907"</definedName>
    <definedName name="IQ_OTHER_INTAN_BNK">"c908"</definedName>
    <definedName name="IQ_OTHER_INTAN_BR">"c909"</definedName>
    <definedName name="IQ_OTHER_INTAN_FIN">"c910"</definedName>
    <definedName name="IQ_OTHER_INTAN_INS">"c911"</definedName>
    <definedName name="IQ_OTHER_INTAN_REIT">"c912"</definedName>
    <definedName name="IQ_OTHER_INTAN_UTI">"c913"</definedName>
    <definedName name="IQ_OTHER_INV">"c914"</definedName>
    <definedName name="IQ_OTHER_INVEST">"c915"</definedName>
    <definedName name="IQ_OTHER_INVEST_ACT">"c916"</definedName>
    <definedName name="IQ_OTHER_INVEST_ACT_BNK">"c917"</definedName>
    <definedName name="IQ_OTHER_INVEST_ACT_BR">"c918"</definedName>
    <definedName name="IQ_OTHER_INVEST_ACT_FIN">"c919"</definedName>
    <definedName name="IQ_OTHER_INVEST_ACT_INS">"c920"</definedName>
    <definedName name="IQ_OTHER_INVEST_ACT_REIT">"c921"</definedName>
    <definedName name="IQ_OTHER_INVEST_ACT_SUPPL">"c922"</definedName>
    <definedName name="IQ_OTHER_INVEST_ACT_SUPPL_BNK">"c923"</definedName>
    <definedName name="IQ_OTHER_INVEST_ACT_SUPPL_BR">"c924"</definedName>
    <definedName name="IQ_OTHER_INVEST_ACT_SUPPL_FIN">"c925"</definedName>
    <definedName name="IQ_OTHER_INVEST_ACT_SUPPL_INS">"c926"</definedName>
    <definedName name="IQ_OTHER_INVEST_ACT_SUPPL_REIT">"c927"</definedName>
    <definedName name="IQ_OTHER_INVEST_ACT_SUPPL_UTI">"c928"</definedName>
    <definedName name="IQ_OTHER_INVEST_ACT_UTI">"c929"</definedName>
    <definedName name="IQ_OTHER_INVESTING">"c1408"</definedName>
    <definedName name="IQ_OTHER_LIAB">"c930"</definedName>
    <definedName name="IQ_OTHER_LIAB_BNK">"c931"</definedName>
    <definedName name="IQ_OTHER_LIAB_BR">"c932"</definedName>
    <definedName name="IQ_OTHER_LIAB_FIN">"c933"</definedName>
    <definedName name="IQ_OTHER_LIAB_INS">"c934"</definedName>
    <definedName name="IQ_OTHER_LIAB_LT">"c935"</definedName>
    <definedName name="IQ_OTHER_LIAB_LT_BNK">"c936"</definedName>
    <definedName name="IQ_OTHER_LIAB_LT_BR">"c937"</definedName>
    <definedName name="IQ_OTHER_LIAB_LT_FIN">"c938"</definedName>
    <definedName name="IQ_OTHER_LIAB_LT_INS">"c939"</definedName>
    <definedName name="IQ_OTHER_LIAB_LT_REIT">"c940"</definedName>
    <definedName name="IQ_OTHER_LIAB_LT_UTI">"c941"</definedName>
    <definedName name="IQ_OTHER_LIAB_REIT">"c942"</definedName>
    <definedName name="IQ_OTHER_LIAB_UTI">"c943"</definedName>
    <definedName name="IQ_OTHER_LIAB_WRITTEN">"c944"</definedName>
    <definedName name="IQ_OTHER_LOANS">"c945"</definedName>
    <definedName name="IQ_OTHER_LONG_TERM">"c1409"</definedName>
    <definedName name="IQ_OTHER_LT_ASSETS">"c946"</definedName>
    <definedName name="IQ_OTHER_LT_ASSETS_BNK">"c947"</definedName>
    <definedName name="IQ_OTHER_LT_ASSETS_BR">"c948"</definedName>
    <definedName name="IQ_OTHER_LT_ASSETS_FIN">"c949"</definedName>
    <definedName name="IQ_OTHER_LT_ASSETS_INS">"c950"</definedName>
    <definedName name="IQ_OTHER_LT_ASSETS_REIT">"c951"</definedName>
    <definedName name="IQ_OTHER_LT_ASSETS_UTI">"c952"</definedName>
    <definedName name="IQ_OTHER_NET">"c1453"</definedName>
    <definedName name="IQ_OTHER_NON_INT_EXP">"c953"</definedName>
    <definedName name="IQ_OTHER_NON_INT_EXP_TOTAL">"c954"</definedName>
    <definedName name="IQ_OTHER_NON_INT_INC">"c955"</definedName>
    <definedName name="IQ_OTHER_NON_OPER_EXP">"c956"</definedName>
    <definedName name="IQ_OTHER_NON_OPER_EXP_BR">"c957"</definedName>
    <definedName name="IQ_OTHER_NON_OPER_EXP_FIN">"c958"</definedName>
    <definedName name="IQ_OTHER_NON_OPER_EXP_INS">"c959"</definedName>
    <definedName name="IQ_OTHER_NON_OPER_EXP_REIT">"c960"</definedName>
    <definedName name="IQ_OTHER_NON_OPER_EXP_SUPPL">"c961"</definedName>
    <definedName name="IQ_OTHER_NON_OPER_EXP_SUPPL_BR">"c962"</definedName>
    <definedName name="IQ_OTHER_NON_OPER_EXP_SUPPL_FIN">"c963"</definedName>
    <definedName name="IQ_OTHER_NON_OPER_EXP_SUPPL_INS">"c964"</definedName>
    <definedName name="IQ_OTHER_NON_OPER_EXP_SUPPL_REIT">"c965"</definedName>
    <definedName name="IQ_OTHER_NON_OPER_EXP_SUPPL_UTI">"c966"</definedName>
    <definedName name="IQ_OTHER_NON_OPER_EXP_UTI">"c967"</definedName>
    <definedName name="IQ_OTHER_OPER">"c982"</definedName>
    <definedName name="IQ_OTHER_OPER_ACT">"c983"</definedName>
    <definedName name="IQ_OTHER_OPER_ACT_BNK">"c984"</definedName>
    <definedName name="IQ_OTHER_OPER_ACT_BR">"c985"</definedName>
    <definedName name="IQ_OTHER_OPER_ACT_FIN">"c986"</definedName>
    <definedName name="IQ_OTHER_OPER_ACT_INS">"c987"</definedName>
    <definedName name="IQ_OTHER_OPER_ACT_REIT">"c988"</definedName>
    <definedName name="IQ_OTHER_OPER_ACT_UTI">"c989"</definedName>
    <definedName name="IQ_OTHER_OPER_BR">"c990"</definedName>
    <definedName name="IQ_OTHER_OPER_FIN">"c991"</definedName>
    <definedName name="IQ_OTHER_OPER_INS">"c992"</definedName>
    <definedName name="IQ_OTHER_OPER_REIT">"c993"</definedName>
    <definedName name="IQ_OTHER_OPER_SUPPL_BR">"c994"</definedName>
    <definedName name="IQ_OTHER_OPER_SUPPL_FIN">"c995"</definedName>
    <definedName name="IQ_OTHER_OPER_SUPPL_INS">"c996"</definedName>
    <definedName name="IQ_OTHER_OPER_SUPPL_REIT">"c997"</definedName>
    <definedName name="IQ_OTHER_OPER_SUPPL_UTI">"c998"</definedName>
    <definedName name="IQ_OTHER_OPER_TOT_BNK">"c999"</definedName>
    <definedName name="IQ_OTHER_OPER_TOT_BR">"c1000"</definedName>
    <definedName name="IQ_OTHER_OPER_TOT_FIN">"c1001"</definedName>
    <definedName name="IQ_OTHER_OPER_TOT_INS">"c1002"</definedName>
    <definedName name="IQ_OTHER_OPER_TOT_REIT">"c1003"</definedName>
    <definedName name="IQ_OTHER_OPER_TOT_UTI">"c1004"</definedName>
    <definedName name="IQ_OTHER_OPER_UTI">"c1005"</definedName>
    <definedName name="IQ_OTHER_OPTIONS_BEG_OS">"c2686"</definedName>
    <definedName name="IQ_OTHER_OPTIONS_CANCELLED">"c2689"</definedName>
    <definedName name="IQ_OTHER_OPTIONS_END_OS">"c2690"</definedName>
    <definedName name="IQ_OTHER_OPTIONS_EXERCISED">"c2688"</definedName>
    <definedName name="IQ_OTHER_OPTIONS_GRANTED">"c2687"</definedName>
    <definedName name="IQ_OTHER_OPTIONS_STRIKE_PRICE_OS">"c2691"</definedName>
    <definedName name="IQ_OTHER_OUTSTANDING_BS_DATE">"c1972"</definedName>
    <definedName name="IQ_OTHER_OUTSTANDING_FILING_DATE">"c1974"</definedName>
    <definedName name="IQ_OTHER_PC_WRITTEN">"c1006"</definedName>
    <definedName name="IQ_OTHER_REAL_ESTATE">"c1007"</definedName>
    <definedName name="IQ_OTHER_RECEIV">"c1008"</definedName>
    <definedName name="IQ_OTHER_RECEIV_INS">"c1009"</definedName>
    <definedName name="IQ_OTHER_REV">"c1010"</definedName>
    <definedName name="IQ_OTHER_REV_BR">"c1011"</definedName>
    <definedName name="IQ_OTHER_REV_FIN">"c1012"</definedName>
    <definedName name="IQ_OTHER_REV_INS">"c1013"</definedName>
    <definedName name="IQ_OTHER_REV_REIT">"c1014"</definedName>
    <definedName name="IQ_OTHER_REV_SUPPL">"c1015"</definedName>
    <definedName name="IQ_OTHER_REV_SUPPL_BR">"c1016"</definedName>
    <definedName name="IQ_OTHER_REV_SUPPL_FIN">"c1017"</definedName>
    <definedName name="IQ_OTHER_REV_SUPPL_INS">"c1018"</definedName>
    <definedName name="IQ_OTHER_REV_SUPPL_REIT">"c1019"</definedName>
    <definedName name="IQ_OTHER_REV_SUPPL_UTI">"c1020"</definedName>
    <definedName name="IQ_OTHER_REV_UTI">"c1021"</definedName>
    <definedName name="IQ_OTHER_REVENUE">"c1410"</definedName>
    <definedName name="IQ_OTHER_STRIKE_PRICE_GRANTED">"c2692"</definedName>
    <definedName name="IQ_OTHER_UNDRAWN">"c2522"</definedName>
    <definedName name="IQ_OTHER_UNUSUAL">"c1488"</definedName>
    <definedName name="IQ_OTHER_UNUSUAL_BNK">"c1560"</definedName>
    <definedName name="IQ_OTHER_UNUSUAL_BR">"c1561"</definedName>
    <definedName name="IQ_OTHER_UNUSUAL_FIN">"c1562"</definedName>
    <definedName name="IQ_OTHER_UNUSUAL_INS">"c1563"</definedName>
    <definedName name="IQ_OTHER_UNUSUAL_REIT">"c1564"</definedName>
    <definedName name="IQ_OTHER_UNUSUAL_SUPPL">"c1494"</definedName>
    <definedName name="IQ_OTHER_UNUSUAL_SUPPL_BNK">"c1495"</definedName>
    <definedName name="IQ_OTHER_UNUSUAL_SUPPL_BR">"c1496"</definedName>
    <definedName name="IQ_OTHER_UNUSUAL_SUPPL_FIN">"c1497"</definedName>
    <definedName name="IQ_OTHER_UNUSUAL_SUPPL_INS">"c1498"</definedName>
    <definedName name="IQ_OTHER_UNUSUAL_SUPPL_REIT">"c1499"</definedName>
    <definedName name="IQ_OTHER_UNUSUAL_SUPPL_UTI">"c1500"</definedName>
    <definedName name="IQ_OTHER_UNUSUAL_UTI">"c1565"</definedName>
    <definedName name="IQ_OTHER_WARRANTS_BEG_OS">"c2712"</definedName>
    <definedName name="IQ_OTHER_WARRANTS_CANCELLED">"c2715"</definedName>
    <definedName name="IQ_OTHER_WARRANTS_END_OS">"c2716"</definedName>
    <definedName name="IQ_OTHER_WARRANTS_EXERCISED">"c2714"</definedName>
    <definedName name="IQ_OTHER_WARRANTS_ISSUED">"c2713"</definedName>
    <definedName name="IQ_OTHER_WARRANTS_STRIKE_PRICE_ISSUED">"c2718"</definedName>
    <definedName name="IQ_OTHER_WARRANTS_STRIKE_PRICE_OS">"c2717"</definedName>
    <definedName name="IQ_OUTSTANDING_BS_DATE">"c2128"</definedName>
    <definedName name="IQ_OUTSTANDING_FILING_DATE">"c1023"</definedName>
    <definedName name="IQ_OWNERSHIP">"c2160"</definedName>
    <definedName name="IQ_PART_TIME">"c1024"</definedName>
    <definedName name="IQ_PAY_ACCRUED">"c1457"</definedName>
    <definedName name="IQ_PAYOUT_RATIO">"c1900"</definedName>
    <definedName name="IQ_PBV">"c1025"</definedName>
    <definedName name="IQ_PBV_AVG">"c1026"</definedName>
    <definedName name="IQ_PC_EARNED">"c2749"</definedName>
    <definedName name="IQ_PC_GAAP_COMBINED_RATIO">"c2781"</definedName>
    <definedName name="IQ_PC_GAAP_COMBINED_RATIO_EXCL_CL">"c2782"</definedName>
    <definedName name="IQ_PC_GAAP_EXPENSE_RATIO">"c2780"</definedName>
    <definedName name="IQ_PC_GAAP_LOSS">"c2779"</definedName>
    <definedName name="IQ_PC_POLICY_BENEFITS_EXP">"c2790"</definedName>
    <definedName name="IQ_PC_STAT_COMBINED_RATIO">"c2778"</definedName>
    <definedName name="IQ_PC_STAT_COMBINED_RATIO_EXCL_DIV">"c2777"</definedName>
    <definedName name="IQ_PC_STAT_DIVIDEND_RATIO">"c2776"</definedName>
    <definedName name="IQ_PC_STAT_EXPENSE_RATIO">"c2775"</definedName>
    <definedName name="IQ_PC_STAT_LOSS_RATIO">"c2774"</definedName>
    <definedName name="IQ_PC_STATUTORY_SURPLUS">"c2770"</definedName>
    <definedName name="IQ_PC_WRITTEN">"c1027"</definedName>
    <definedName name="IQ_PE_EXCL">"c1028"</definedName>
    <definedName name="IQ_PE_EXCL_AVG">"c1029"</definedName>
    <definedName name="IQ_PE_EXCL_FWD">"c1030"</definedName>
    <definedName name="IQ_PE_EXCL_FWD_REUT">"c4049"</definedName>
    <definedName name="IQ_PE_NORMALIZED">"c2207"</definedName>
    <definedName name="IQ_PE_RATIO">"c1610"</definedName>
    <definedName name="IQ_PEG_FWD">"c1863"</definedName>
    <definedName name="IQ_PEG_FWD_REUT">"c4052"</definedName>
    <definedName name="IQ_PENSION">"c1031"</definedName>
    <definedName name="IQ_PENSION_ACCRUED_LIAB">"c3134"</definedName>
    <definedName name="IQ_PENSION_ACCRUED_LIAB_DOM">"c3132"</definedName>
    <definedName name="IQ_PENSION_ACCRUED_LIAB_FOREIGN">"c3133"</definedName>
    <definedName name="IQ_PENSION_ACCUM_OTHER_CI">"c3140"</definedName>
    <definedName name="IQ_PENSION_ACCUM_OTHER_CI_DOM">"c3138"</definedName>
    <definedName name="IQ_PENSION_ACCUM_OTHER_CI_FOREIGN">"c3139"</definedName>
    <definedName name="IQ_PENSION_ACCUMULATED_OBLIGATION">"c3570"</definedName>
    <definedName name="IQ_PENSION_ACCUMULATED_OBLIGATION_DOMESTIC">"c3568"</definedName>
    <definedName name="IQ_PENSION_ACCUMULATED_OBLIGATION_FOREIGN">"c3569"</definedName>
    <definedName name="IQ_PENSION_ASSETS">"c3182"</definedName>
    <definedName name="IQ_PENSION_ASSETS_ACQ">"c3173"</definedName>
    <definedName name="IQ_PENSION_ASSETS_ACQ_DOM">"c3171"</definedName>
    <definedName name="IQ_PENSION_ASSETS_ACQ_FOREIGN">"c3172"</definedName>
    <definedName name="IQ_PENSION_ASSETS_ACTUAL_RETURN">"c3158"</definedName>
    <definedName name="IQ_PENSION_ASSETS_ACTUAL_RETURN_DOM">"c3156"</definedName>
    <definedName name="IQ_PENSION_ASSETS_ACTUAL_RETURN_FOREIGN">"c3157"</definedName>
    <definedName name="IQ_PENSION_ASSETS_BEG">"c3155"</definedName>
    <definedName name="IQ_PENSION_ASSETS_BEG_DOM">"c3153"</definedName>
    <definedName name="IQ_PENSION_ASSETS_BEG_FOREIGN">"c3154"</definedName>
    <definedName name="IQ_PENSION_ASSETS_BENEFITS_PAID">"c3167"</definedName>
    <definedName name="IQ_PENSION_ASSETS_BENEFITS_PAID_DOM">"c3165"</definedName>
    <definedName name="IQ_PENSION_ASSETS_BENEFITS_PAID_FOREIGN">"c3166"</definedName>
    <definedName name="IQ_PENSION_ASSETS_CURTAIL">"c3176"</definedName>
    <definedName name="IQ_PENSION_ASSETS_CURTAIL_DOM">"c3174"</definedName>
    <definedName name="IQ_PENSION_ASSETS_CURTAIL_FOREIGN">"c3175"</definedName>
    <definedName name="IQ_PENSION_ASSETS_DOM">"c3180"</definedName>
    <definedName name="IQ_PENSION_ASSETS_EMPLOYER_CONTRIBUTIONS">"c3161"</definedName>
    <definedName name="IQ_PENSION_ASSETS_EMPLOYER_CONTRIBUTIONS_DOM">"c3159"</definedName>
    <definedName name="IQ_PENSION_ASSETS_EMPLOYER_CONTRIBUTIONS_FOREIGN">"c3160"</definedName>
    <definedName name="IQ_PENSION_ASSETS_FOREIGN">"c3181"</definedName>
    <definedName name="IQ_PENSION_ASSETS_FX_ADJ">"c3170"</definedName>
    <definedName name="IQ_PENSION_ASSETS_FX_ADJ_DOM">"c3168"</definedName>
    <definedName name="IQ_PENSION_ASSETS_FX_ADJ_FOREIGN">"c3169"</definedName>
    <definedName name="IQ_PENSION_ASSETS_OTHER_PLAN_ADJ">"c3179"</definedName>
    <definedName name="IQ_PENSION_ASSETS_OTHER_PLAN_ADJ_DOM">"c3177"</definedName>
    <definedName name="IQ_PENSION_ASSETS_OTHER_PLAN_ADJ_FOREIGN">"c3178"</definedName>
    <definedName name="IQ_PENSION_ASSETS_PARTICIP_CONTRIBUTIONS">"c3164"</definedName>
    <definedName name="IQ_PENSION_ASSETS_PARTICIP_CONTRIBUTIONS_DOM">"c3162"</definedName>
    <definedName name="IQ_PENSION_ASSETS_PARTICIP_CONTRIBUTIONS_FOREIGN">"c3163"</definedName>
    <definedName name="IQ_PENSION_BENEFIT_INFO_DATE">"c3230"</definedName>
    <definedName name="IQ_PENSION_BENEFIT_INFO_DATE_DOM">"c3228"</definedName>
    <definedName name="IQ_PENSION_BENEFIT_INFO_DATE_FOREIGN">"c3229"</definedName>
    <definedName name="IQ_PENSION_BREAKDOWN_EQ">"c3101"</definedName>
    <definedName name="IQ_PENSION_BREAKDOWN_EQ_DOM">"c3099"</definedName>
    <definedName name="IQ_PENSION_BREAKDOWN_EQ_FOREIGN">"c3100"</definedName>
    <definedName name="IQ_PENSION_BREAKDOWN_FI">"c3104"</definedName>
    <definedName name="IQ_PENSION_BREAKDOWN_FI_DOM">"c3102"</definedName>
    <definedName name="IQ_PENSION_BREAKDOWN_FI_FOREIGN">"c3103"</definedName>
    <definedName name="IQ_PENSION_BREAKDOWN_OTHER">"c3110"</definedName>
    <definedName name="IQ_PENSION_BREAKDOWN_OTHER_DOM">"c3108"</definedName>
    <definedName name="IQ_PENSION_BREAKDOWN_OTHER_FOREIGN">"c3109"</definedName>
    <definedName name="IQ_PENSION_BREAKDOWN_PCT_EQ">"c3089"</definedName>
    <definedName name="IQ_PENSION_BREAKDOWN_PCT_EQ_DOM">"c3087"</definedName>
    <definedName name="IQ_PENSION_BREAKDOWN_PCT_EQ_FOREIGN">"c3088"</definedName>
    <definedName name="IQ_PENSION_BREAKDOWN_PCT_FI">"c3092"</definedName>
    <definedName name="IQ_PENSION_BREAKDOWN_PCT_FI_DOM">"c3090"</definedName>
    <definedName name="IQ_PENSION_BREAKDOWN_PCT_FI_FOREIGN">"c3091"</definedName>
    <definedName name="IQ_PENSION_BREAKDOWN_PCT_OTHER">"c3098"</definedName>
    <definedName name="IQ_PENSION_BREAKDOWN_PCT_OTHER_DOM">"c3096"</definedName>
    <definedName name="IQ_PENSION_BREAKDOWN_PCT_OTHER_FOREIGN">"c3097"</definedName>
    <definedName name="IQ_PENSION_BREAKDOWN_PCT_RE">"c3095"</definedName>
    <definedName name="IQ_PENSION_BREAKDOWN_PCT_RE_DOM">"c3093"</definedName>
    <definedName name="IQ_PENSION_BREAKDOWN_PCT_RE_FOREIGN">"c3094"</definedName>
    <definedName name="IQ_PENSION_BREAKDOWN_RE">"c3107"</definedName>
    <definedName name="IQ_PENSION_BREAKDOWN_RE_DOM">"c3105"</definedName>
    <definedName name="IQ_PENSION_BREAKDOWN_RE_FOREIGN">"c3106"</definedName>
    <definedName name="IQ_PENSION_CONTRIBUTION_TOTAL_COST">"c3559"</definedName>
    <definedName name="IQ_PENSION_DISC_RATE_MAX">"c3236"</definedName>
    <definedName name="IQ_PENSION_DISC_RATE_MAX_DOM">"c3234"</definedName>
    <definedName name="IQ_PENSION_DISC_RATE_MAX_FOREIGN">"c3235"</definedName>
    <definedName name="IQ_PENSION_DISC_RATE_MIN">"c3233"</definedName>
    <definedName name="IQ_PENSION_DISC_RATE_MIN_DOM">"c3231"</definedName>
    <definedName name="IQ_PENSION_DISC_RATE_MIN_FOREIGN">"c3232"</definedName>
    <definedName name="IQ_PENSION_DISCOUNT_RATE_DOMESTIC">"c3573"</definedName>
    <definedName name="IQ_PENSION_DISCOUNT_RATE_FOREIGN">"c3574"</definedName>
    <definedName name="IQ_PENSION_EST_BENEFIT_1YR">"c3113"</definedName>
    <definedName name="IQ_PENSION_EST_BENEFIT_1YR_DOM">"c3111"</definedName>
    <definedName name="IQ_PENSION_EST_BENEFIT_1YR_FOREIGN">"c3112"</definedName>
    <definedName name="IQ_PENSION_EST_BENEFIT_2YR">"c3116"</definedName>
    <definedName name="IQ_PENSION_EST_BENEFIT_2YR_DOM">"c3114"</definedName>
    <definedName name="IQ_PENSION_EST_BENEFIT_2YR_FOREIGN">"c3115"</definedName>
    <definedName name="IQ_PENSION_EST_BENEFIT_3YR">"c3119"</definedName>
    <definedName name="IQ_PENSION_EST_BENEFIT_3YR_DOM">"c3117"</definedName>
    <definedName name="IQ_PENSION_EST_BENEFIT_3YR_FOREIGN">"c3118"</definedName>
    <definedName name="IQ_PENSION_EST_BENEFIT_4YR">"c3122"</definedName>
    <definedName name="IQ_PENSION_EST_BENEFIT_4YR_DOM">"c3120"</definedName>
    <definedName name="IQ_PENSION_EST_BENEFIT_4YR_FOREIGN">"c3121"</definedName>
    <definedName name="IQ_PENSION_EST_BENEFIT_5YR">"c3125"</definedName>
    <definedName name="IQ_PENSION_EST_BENEFIT_5YR_DOM">"c3123"</definedName>
    <definedName name="IQ_PENSION_EST_BENEFIT_5YR_FOREIGN">"c3124"</definedName>
    <definedName name="IQ_PENSION_EST_BENEFIT_AFTER5">"c3128"</definedName>
    <definedName name="IQ_PENSION_EST_BENEFIT_AFTER5_DOM">"c3126"</definedName>
    <definedName name="IQ_PENSION_EST_BENEFIT_AFTER5_FOREIGN">"c3127"</definedName>
    <definedName name="IQ_PENSION_EST_CONTRIBUTIONS_NEXTYR">"c3218"</definedName>
    <definedName name="IQ_PENSION_EST_CONTRIBUTIONS_NEXTYR_DOM">"c3216"</definedName>
    <definedName name="IQ_PENSION_EST_CONTRIBUTIONS_NEXTYR_FOREIGN">"c3217"</definedName>
    <definedName name="IQ_PENSION_EXP_RATE_RETURN_MAX">"c3248"</definedName>
    <definedName name="IQ_PENSION_EXP_RATE_RETURN_MAX_DOM">"c3246"</definedName>
    <definedName name="IQ_PENSION_EXP_RATE_RETURN_MAX_FOREIGN">"c3247"</definedName>
    <definedName name="IQ_PENSION_EXP_RATE_RETURN_MIN">"c3245"</definedName>
    <definedName name="IQ_PENSION_EXP_RATE_RETURN_MIN_DOM">"c3243"</definedName>
    <definedName name="IQ_PENSION_EXP_RATE_RETURN_MIN_FOREIGN">"c3244"</definedName>
    <definedName name="IQ_PENSION_EXP_RETURN_DOMESTIC">"c3571"</definedName>
    <definedName name="IQ_PENSION_EXP_RETURN_FOREIGN">"c3572"</definedName>
    <definedName name="IQ_PENSION_INTAN_ASSETS">"c3137"</definedName>
    <definedName name="IQ_PENSION_INTAN_ASSETS_DOM">"c3135"</definedName>
    <definedName name="IQ_PENSION_INTAN_ASSETS_FOREIGN">"c3136"</definedName>
    <definedName name="IQ_PENSION_INTEREST_COST">"c3582"</definedName>
    <definedName name="IQ_PENSION_INTEREST_COST_DOM">"c3580"</definedName>
    <definedName name="IQ_PENSION_INTEREST_COST_FOREIGN">"c3581"</definedName>
    <definedName name="IQ_PENSION_NET_ASSET_RECOG">"c3152"</definedName>
    <definedName name="IQ_PENSION_NET_ASSET_RECOG_DOM">"c3150"</definedName>
    <definedName name="IQ_PENSION_NET_ASSET_RECOG_FOREIGN">"c3151"</definedName>
    <definedName name="IQ_PENSION_OBLIGATION_ACQ">"c3206"</definedName>
    <definedName name="IQ_PENSION_OBLIGATION_ACQ_DOM">"c3204"</definedName>
    <definedName name="IQ_PENSION_OBLIGATION_ACQ_FOREIGN">"c3205"</definedName>
    <definedName name="IQ_PENSION_OBLIGATION_ACTUARIAL_GAIN_LOSS">"c3197"</definedName>
    <definedName name="IQ_PENSION_OBLIGATION_ACTUARIAL_GAIN_LOSS_DOM">"c3195"</definedName>
    <definedName name="IQ_PENSION_OBLIGATION_ACTUARIAL_GAIN_LOSS_FOREIGN">"c3196"</definedName>
    <definedName name="IQ_PENSION_OBLIGATION_BEG">"c3185"</definedName>
    <definedName name="IQ_PENSION_OBLIGATION_BEG_DOM">"c3183"</definedName>
    <definedName name="IQ_PENSION_OBLIGATION_BEG_FOREIGN">"c3184"</definedName>
    <definedName name="IQ_PENSION_OBLIGATION_CURTAIL">"c3209"</definedName>
    <definedName name="IQ_PENSION_OBLIGATION_CURTAIL_DOM">"c3207"</definedName>
    <definedName name="IQ_PENSION_OBLIGATION_CURTAIL_FOREIGN">"c3208"</definedName>
    <definedName name="IQ_PENSION_OBLIGATION_EMPLOYEE_CONTRIBUTIONS">"c3194"</definedName>
    <definedName name="IQ_PENSION_OBLIGATION_EMPLOYEE_CONTRIBUTIONS_DOM">"c3192"</definedName>
    <definedName name="IQ_PENSION_OBLIGATION_EMPLOYEE_CONTRIBUTIONS_FOREIGN">"c3193"</definedName>
    <definedName name="IQ_PENSION_OBLIGATION_FX_ADJ">"c3203"</definedName>
    <definedName name="IQ_PENSION_OBLIGATION_FX_ADJ_DOM">"c3201"</definedName>
    <definedName name="IQ_PENSION_OBLIGATION_FX_ADJ_FOREIGN">"c3202"</definedName>
    <definedName name="IQ_PENSION_OBLIGATION_INTEREST_COST">"c3191"</definedName>
    <definedName name="IQ_PENSION_OBLIGATION_INTEREST_COST_DOM">"c3189"</definedName>
    <definedName name="IQ_PENSION_OBLIGATION_INTEREST_COST_FOREIGN">"c3190"</definedName>
    <definedName name="IQ_PENSION_OBLIGATION_OTHER_COST">"c3555"</definedName>
    <definedName name="IQ_PENSION_OBLIGATION_OTHER_COST_DOM">"c3553"</definedName>
    <definedName name="IQ_PENSION_OBLIGATION_OTHER_COST_FOREIGN">"c3554"</definedName>
    <definedName name="IQ_PENSION_OBLIGATION_OTHER_PLAN_ADJ">"c3212"</definedName>
    <definedName name="IQ_PENSION_OBLIGATION_OTHER_PLAN_ADJ_DOM">"c3210"</definedName>
    <definedName name="IQ_PENSION_OBLIGATION_OTHER_PLAN_ADJ_FOREIGN">"c3211"</definedName>
    <definedName name="IQ_PENSION_OBLIGATION_PAID">"c3200"</definedName>
    <definedName name="IQ_PENSION_OBLIGATION_PAID_DOM">"c3198"</definedName>
    <definedName name="IQ_PENSION_OBLIGATION_PAID_FOREIGN">"c3199"</definedName>
    <definedName name="IQ_PENSION_OBLIGATION_PROJECTED">"c3215"</definedName>
    <definedName name="IQ_PENSION_OBLIGATION_PROJECTED_DOM">"c3213"</definedName>
    <definedName name="IQ_PENSION_OBLIGATION_PROJECTED_FOREIGN">"c3214"</definedName>
    <definedName name="IQ_PENSION_OBLIGATION_ROA">"c3552"</definedName>
    <definedName name="IQ_PENSION_OBLIGATION_ROA_DOM">"c3550"</definedName>
    <definedName name="IQ_PENSION_OBLIGATION_ROA_FOREIGN">"c3551"</definedName>
    <definedName name="IQ_PENSION_OBLIGATION_SERVICE_COST">"c3188"</definedName>
    <definedName name="IQ_PENSION_OBLIGATION_SERVICE_COST_DOM">"c3186"</definedName>
    <definedName name="IQ_PENSION_OBLIGATION_SERVICE_COST_FOREIGN">"c3187"</definedName>
    <definedName name="IQ_PENSION_OBLIGATION_TOTAL_COST">"c3558"</definedName>
    <definedName name="IQ_PENSION_OBLIGATION_TOTAL_COST_DOM">"c3556"</definedName>
    <definedName name="IQ_PENSION_OBLIGATION_TOTAL_COST_FOREIGN">"c3557"</definedName>
    <definedName name="IQ_PENSION_OTHER">"c3143"</definedName>
    <definedName name="IQ_PENSION_OTHER_ADJ">"c3149"</definedName>
    <definedName name="IQ_PENSION_OTHER_ADJ_DOM">"c3147"</definedName>
    <definedName name="IQ_PENSION_OTHER_ADJ_FOREIGN">"c3148"</definedName>
    <definedName name="IQ_PENSION_OTHER_DOM">"c3141"</definedName>
    <definedName name="IQ_PENSION_OTHER_FOREIGN">"c3142"</definedName>
    <definedName name="IQ_PENSION_PBO_ASSUMED_RATE_RET_MAX">"c3254"</definedName>
    <definedName name="IQ_PENSION_PBO_ASSUMED_RATE_RET_MAX_DOM">"c3252"</definedName>
    <definedName name="IQ_PENSION_PBO_ASSUMED_RATE_RET_MAX_FOREIGN">"c3253"</definedName>
    <definedName name="IQ_PENSION_PBO_ASSUMED_RATE_RET_MIN">"c3251"</definedName>
    <definedName name="IQ_PENSION_PBO_ASSUMED_RATE_RET_MIN_DOM">"c3249"</definedName>
    <definedName name="IQ_PENSION_PBO_ASSUMED_RATE_RET_MIN_FOREIGN">"c3250"</definedName>
    <definedName name="IQ_PENSION_PBO_RATE_COMP_INCREASE_MAX">"c3260"</definedName>
    <definedName name="IQ_PENSION_PBO_RATE_COMP_INCREASE_MAX_DOM">"c3258"</definedName>
    <definedName name="IQ_PENSION_PBO_RATE_COMP_INCREASE_MAX_FOREIGN">"c3259"</definedName>
    <definedName name="IQ_PENSION_PBO_RATE_COMP_INCREASE_MIN">"c3257"</definedName>
    <definedName name="IQ_PENSION_PBO_RATE_COMP_INCREASE_MIN_DOM">"c3255"</definedName>
    <definedName name="IQ_PENSION_PBO_RATE_COMP_INCREASE_MIN_FOREIGN">"c3256"</definedName>
    <definedName name="IQ_PENSION_PREPAID_COST">"c3131"</definedName>
    <definedName name="IQ_PENSION_PREPAID_COST_DOM">"c3129"</definedName>
    <definedName name="IQ_PENSION_PREPAID_COST_FOREIGN">"c3130"</definedName>
    <definedName name="IQ_PENSION_PROJECTED_OBLIGATION">"c3566"</definedName>
    <definedName name="IQ_PENSION_PROJECTED_OBLIGATION_DOMESTIC">"c3564"</definedName>
    <definedName name="IQ_PENSION_PROJECTED_OBLIGATION_FOREIGN">"c3565"</definedName>
    <definedName name="IQ_PENSION_QUART_ADDL_CONTRIBUTIONS_EXP">"c3224"</definedName>
    <definedName name="IQ_PENSION_QUART_ADDL_CONTRIBUTIONS_EXP_DOM">"c3222"</definedName>
    <definedName name="IQ_PENSION_QUART_ADDL_CONTRIBUTIONS_EXP_FOREIGN">"c3223"</definedName>
    <definedName name="IQ_PENSION_QUART_EMPLOYER_CONTRIBUTIONS">"c3221"</definedName>
    <definedName name="IQ_PENSION_QUART_EMPLOYER_CONTRIBUTIONS_DOM">"c3219"</definedName>
    <definedName name="IQ_PENSION_QUART_EMPLOYER_CONTRIBUTIONS_FOREIGN">"c3220"</definedName>
    <definedName name="IQ_PENSION_RATE_COMP_GROWTH_DOMESTIC">"c3575"</definedName>
    <definedName name="IQ_PENSION_RATE_COMP_GROWTH_FOREIGN">"c3576"</definedName>
    <definedName name="IQ_PENSION_RATE_COMP_INCREASE_MAX">"c3242"</definedName>
    <definedName name="IQ_PENSION_RATE_COMP_INCREASE_MAX_DOM">"c3240"</definedName>
    <definedName name="IQ_PENSION_RATE_COMP_INCREASE_MAX_FOREIGN">"c3241"</definedName>
    <definedName name="IQ_PENSION_RATE_COMP_INCREASE_MIN">"c3239"</definedName>
    <definedName name="IQ_PENSION_RATE_COMP_INCREASE_MIN_DOM">"c3237"</definedName>
    <definedName name="IQ_PENSION_RATE_COMP_INCREASE_MIN_FOREIGN">"c3238"</definedName>
    <definedName name="IQ_PENSION_SERVICE_COST">"c3579"</definedName>
    <definedName name="IQ_PENSION_SERVICE_COST_DOM">"c3577"</definedName>
    <definedName name="IQ_PENSION_SERVICE_COST_FOREIGN">"c3578"</definedName>
    <definedName name="IQ_PENSION_TOTAL_ASSETS">"c3563"</definedName>
    <definedName name="IQ_PENSION_TOTAL_ASSETS_DOMESTIC">"c3561"</definedName>
    <definedName name="IQ_PENSION_TOTAL_ASSETS_FOREIGN">"c3562"</definedName>
    <definedName name="IQ_PENSION_TOTAL_EXP">"c3560"</definedName>
    <definedName name="IQ_PENSION_UNFUNDED_ADDL_MIN_LIAB">"c3227"</definedName>
    <definedName name="IQ_PENSION_UNFUNDED_ADDL_MIN_LIAB_DOM">"c3225"</definedName>
    <definedName name="IQ_PENSION_UNFUNDED_ADDL_MIN_LIAB_FOREIGN">"c3226"</definedName>
    <definedName name="IQ_PENSION_UNRECOG_PRIOR">"c3146"</definedName>
    <definedName name="IQ_PENSION_UNRECOG_PRIOR_DOM">"c3144"</definedName>
    <definedName name="IQ_PENSION_UNRECOG_PRIOR_FOREIGN">"c3145"</definedName>
    <definedName name="IQ_PENSION_UV_LIAB">"c3567"</definedName>
    <definedName name="IQ_PERCENT_CHANGE_EST_5YR_GROWTH_RATE_12MONTHS">"c1852"</definedName>
    <definedName name="IQ_PERCENT_CHANGE_EST_5YR_GROWTH_RATE_12MONTHS_REUT">"c3959"</definedName>
    <definedName name="IQ_PERCENT_CHANGE_EST_5YR_GROWTH_RATE_18MONTHS">"c1853"</definedName>
    <definedName name="IQ_PERCENT_CHANGE_EST_5YR_GROWTH_RATE_18MONTHS_REUT">"c3960"</definedName>
    <definedName name="IQ_PERCENT_CHANGE_EST_5YR_GROWTH_RATE_3MONTHS">"c1849"</definedName>
    <definedName name="IQ_PERCENT_CHANGE_EST_5YR_GROWTH_RATE_3MONTHS_REUT">"c3956"</definedName>
    <definedName name="IQ_PERCENT_CHANGE_EST_5YR_GROWTH_RATE_6MONTHS">"c1850"</definedName>
    <definedName name="IQ_PERCENT_CHANGE_EST_5YR_GROWTH_RATE_6MONTHS_REUT">"c3957"</definedName>
    <definedName name="IQ_PERCENT_CHANGE_EST_5YR_GROWTH_RATE_9MONTHS">"c1851"</definedName>
    <definedName name="IQ_PERCENT_CHANGE_EST_5YR_GROWTH_RATE_9MONTHS_REUT">"c3958"</definedName>
    <definedName name="IQ_PERCENT_CHANGE_EST_5YR_GROWTH_RATE_DAY">"c1846"</definedName>
    <definedName name="IQ_PERCENT_CHANGE_EST_5YR_GROWTH_RATE_DAY_REUT">"c3954"</definedName>
    <definedName name="IQ_PERCENT_CHANGE_EST_5YR_GROWTH_RATE_MONTH">"c1848"</definedName>
    <definedName name="IQ_PERCENT_CHANGE_EST_5YR_GROWTH_RATE_MONTH_REUT">"c3955"</definedName>
    <definedName name="IQ_PERCENT_CHANGE_EST_5YR_GROWTH_RATE_WEEK">"c1847"</definedName>
    <definedName name="IQ_PERCENT_CHANGE_EST_5YR_GROWTH_RATE_WEEK_REUT">"c5435"</definedName>
    <definedName name="IQ_PERCENT_CHANGE_EST_CFPS_12MONTHS">"c1812"</definedName>
    <definedName name="IQ_PERCENT_CHANGE_EST_CFPS_12MONTHS_REUT">"c3924"</definedName>
    <definedName name="IQ_PERCENT_CHANGE_EST_CFPS_18MONTHS">"c1813"</definedName>
    <definedName name="IQ_PERCENT_CHANGE_EST_CFPS_18MONTHS_REUT">"c3925"</definedName>
    <definedName name="IQ_PERCENT_CHANGE_EST_CFPS_3MONTHS">"c1809"</definedName>
    <definedName name="IQ_PERCENT_CHANGE_EST_CFPS_3MONTHS_REUT">"c3921"</definedName>
    <definedName name="IQ_PERCENT_CHANGE_EST_CFPS_6MONTHS">"c1810"</definedName>
    <definedName name="IQ_PERCENT_CHANGE_EST_CFPS_6MONTHS_REUT">"c3922"</definedName>
    <definedName name="IQ_PERCENT_CHANGE_EST_CFPS_9MONTHS">"c1811"</definedName>
    <definedName name="IQ_PERCENT_CHANGE_EST_CFPS_9MONTHS_REUT">"c3923"</definedName>
    <definedName name="IQ_PERCENT_CHANGE_EST_CFPS_DAY">"c1806"</definedName>
    <definedName name="IQ_PERCENT_CHANGE_EST_CFPS_DAY_REUT">"c3919"</definedName>
    <definedName name="IQ_PERCENT_CHANGE_EST_CFPS_MONTH">"c1808"</definedName>
    <definedName name="IQ_PERCENT_CHANGE_EST_CFPS_MONTH_REUT">"c3920"</definedName>
    <definedName name="IQ_PERCENT_CHANGE_EST_CFPS_WEEK">"c1807"</definedName>
    <definedName name="IQ_PERCENT_CHANGE_EST_CFPS_WEEK_REUT">"c3962"</definedName>
    <definedName name="IQ_PERCENT_CHANGE_EST_DPS_12MONTHS">"c1820"</definedName>
    <definedName name="IQ_PERCENT_CHANGE_EST_DPS_12MONTHS_REUT">"c3931"</definedName>
    <definedName name="IQ_PERCENT_CHANGE_EST_DPS_18MONTHS">"c1821"</definedName>
    <definedName name="IQ_PERCENT_CHANGE_EST_DPS_18MONTHS_REUT">"c3932"</definedName>
    <definedName name="IQ_PERCENT_CHANGE_EST_DPS_3MONTHS">"c1817"</definedName>
    <definedName name="IQ_PERCENT_CHANGE_EST_DPS_3MONTHS_REUT">"c3928"</definedName>
    <definedName name="IQ_PERCENT_CHANGE_EST_DPS_6MONTHS">"c1818"</definedName>
    <definedName name="IQ_PERCENT_CHANGE_EST_DPS_6MONTHS_REUT">"c3929"</definedName>
    <definedName name="IQ_PERCENT_CHANGE_EST_DPS_9MONTHS">"c1819"</definedName>
    <definedName name="IQ_PERCENT_CHANGE_EST_DPS_9MONTHS_REUT">"c3930"</definedName>
    <definedName name="IQ_PERCENT_CHANGE_EST_DPS_DAY">"c1814"</definedName>
    <definedName name="IQ_PERCENT_CHANGE_EST_DPS_DAY_REUT">"c3926"</definedName>
    <definedName name="IQ_PERCENT_CHANGE_EST_DPS_MONTH">"c1816"</definedName>
    <definedName name="IQ_PERCENT_CHANGE_EST_DPS_MONTH_REUT">"c3927"</definedName>
    <definedName name="IQ_PERCENT_CHANGE_EST_DPS_WEEK">"c1815"</definedName>
    <definedName name="IQ_PERCENT_CHANGE_EST_DPS_WEEK_REUT">"c3963"</definedName>
    <definedName name="IQ_PERCENT_CHANGE_EST_EBITDA_12MONTHS">"c1804"</definedName>
    <definedName name="IQ_PERCENT_CHANGE_EST_EBITDA_12MONTHS_REUT">"c3917"</definedName>
    <definedName name="IQ_PERCENT_CHANGE_EST_EBITDA_18MONTHS">"c1805"</definedName>
    <definedName name="IQ_PERCENT_CHANGE_EST_EBITDA_18MONTHS_REUT">"c3918"</definedName>
    <definedName name="IQ_PERCENT_CHANGE_EST_EBITDA_3MONTHS">"c1801"</definedName>
    <definedName name="IQ_PERCENT_CHANGE_EST_EBITDA_3MONTHS_REUT">"c3914"</definedName>
    <definedName name="IQ_PERCENT_CHANGE_EST_EBITDA_6MONTHS">"c1802"</definedName>
    <definedName name="IQ_PERCENT_CHANGE_EST_EBITDA_6MONTHS_REUT">"c3915"</definedName>
    <definedName name="IQ_PERCENT_CHANGE_EST_EBITDA_9MONTHS">"c1803"</definedName>
    <definedName name="IQ_PERCENT_CHANGE_EST_EBITDA_9MONTHS_REUT">"c3916"</definedName>
    <definedName name="IQ_PERCENT_CHANGE_EST_EBITDA_DAY">"c1798"</definedName>
    <definedName name="IQ_PERCENT_CHANGE_EST_EBITDA_DAY_REUT">"c3912"</definedName>
    <definedName name="IQ_PERCENT_CHANGE_EST_EBITDA_MONTH">"c1800"</definedName>
    <definedName name="IQ_PERCENT_CHANGE_EST_EBITDA_MONTH_REUT">"c3913"</definedName>
    <definedName name="IQ_PERCENT_CHANGE_EST_EBITDA_WEEK">"c1799"</definedName>
    <definedName name="IQ_PERCENT_CHANGE_EST_EBITDA_WEEK_REUT">"c3961"</definedName>
    <definedName name="IQ_PERCENT_CHANGE_EST_EPS_12MONTHS">"c1788"</definedName>
    <definedName name="IQ_PERCENT_CHANGE_EST_EPS_12MONTHS_REUT">"c3902"</definedName>
    <definedName name="IQ_PERCENT_CHANGE_EST_EPS_18MONTHS">"c1789"</definedName>
    <definedName name="IQ_PERCENT_CHANGE_EST_EPS_18MONTHS_REUT">"c3903"</definedName>
    <definedName name="IQ_PERCENT_CHANGE_EST_EPS_3MONTHS">"c1785"</definedName>
    <definedName name="IQ_PERCENT_CHANGE_EST_EPS_3MONTHS_REUT">"c3899"</definedName>
    <definedName name="IQ_PERCENT_CHANGE_EST_EPS_6MONTHS">"c1786"</definedName>
    <definedName name="IQ_PERCENT_CHANGE_EST_EPS_6MONTHS_REUT">"c3900"</definedName>
    <definedName name="IQ_PERCENT_CHANGE_EST_EPS_9MONTHS">"c1787"</definedName>
    <definedName name="IQ_PERCENT_CHANGE_EST_EPS_9MONTHS_REUT">"c3901"</definedName>
    <definedName name="IQ_PERCENT_CHANGE_EST_EPS_DAY">"c1782"</definedName>
    <definedName name="IQ_PERCENT_CHANGE_EST_EPS_DAY_REUT">"c3896"</definedName>
    <definedName name="IQ_PERCENT_CHANGE_EST_EPS_MONTH">"c1784"</definedName>
    <definedName name="IQ_PERCENT_CHANGE_EST_EPS_MONTH_REUT">"c3898"</definedName>
    <definedName name="IQ_PERCENT_CHANGE_EST_EPS_WEEK">"c1783"</definedName>
    <definedName name="IQ_PERCENT_CHANGE_EST_EPS_WEEK_REUT">"c3897"</definedName>
    <definedName name="IQ_PERCENT_CHANGE_EST_FFO_12MONTHS">"c1828"</definedName>
    <definedName name="IQ_PERCENT_CHANGE_EST_FFO_12MONTHS_REUT">"c3938"</definedName>
    <definedName name="IQ_PERCENT_CHANGE_EST_FFO_18MONTHS">"c1829"</definedName>
    <definedName name="IQ_PERCENT_CHANGE_EST_FFO_18MONTHS_REUT">"c3939"</definedName>
    <definedName name="IQ_PERCENT_CHANGE_EST_FFO_3MONTHS">"c1825"</definedName>
    <definedName name="IQ_PERCENT_CHANGE_EST_FFO_3MONTHS_REUT">"c3935"</definedName>
    <definedName name="IQ_PERCENT_CHANGE_EST_FFO_6MONTHS">"c1826"</definedName>
    <definedName name="IQ_PERCENT_CHANGE_EST_FFO_6MONTHS_REUT">"c3936"</definedName>
    <definedName name="IQ_PERCENT_CHANGE_EST_FFO_9MONTHS">"c1827"</definedName>
    <definedName name="IQ_PERCENT_CHANGE_EST_FFO_9MONTHS_REUT">"c3937"</definedName>
    <definedName name="IQ_PERCENT_CHANGE_EST_FFO_DAY">"c1822"</definedName>
    <definedName name="IQ_PERCENT_CHANGE_EST_FFO_DAY_REUT">"c3933"</definedName>
    <definedName name="IQ_PERCENT_CHANGE_EST_FFO_MONTH">"c1824"</definedName>
    <definedName name="IQ_PERCENT_CHANGE_EST_FFO_MONTH_REUT">"c3934"</definedName>
    <definedName name="IQ_PERCENT_CHANGE_EST_FFO_WEEK">"c1823"</definedName>
    <definedName name="IQ_PERCENT_CHANGE_EST_FFO_WEEK_REUT">"c3964"</definedName>
    <definedName name="IQ_PERCENT_CHANGE_EST_PRICE_TARGET_12MONTHS">"c1844"</definedName>
    <definedName name="IQ_PERCENT_CHANGE_EST_PRICE_TARGET_12MONTHS_REUT">"c3952"</definedName>
    <definedName name="IQ_PERCENT_CHANGE_EST_PRICE_TARGET_18MONTHS">"c1845"</definedName>
    <definedName name="IQ_PERCENT_CHANGE_EST_PRICE_TARGET_18MONTHS_REUT">"c3953"</definedName>
    <definedName name="IQ_PERCENT_CHANGE_EST_PRICE_TARGET_3MONTHS">"c1841"</definedName>
    <definedName name="IQ_PERCENT_CHANGE_EST_PRICE_TARGET_3MONTHS_REUT">"c3949"</definedName>
    <definedName name="IQ_PERCENT_CHANGE_EST_PRICE_TARGET_6MONTHS">"c1842"</definedName>
    <definedName name="IQ_PERCENT_CHANGE_EST_PRICE_TARGET_6MONTHS_REUT">"c3950"</definedName>
    <definedName name="IQ_PERCENT_CHANGE_EST_PRICE_TARGET_9MONTHS">"c1843"</definedName>
    <definedName name="IQ_PERCENT_CHANGE_EST_PRICE_TARGET_9MONTHS_REUT">"c3951"</definedName>
    <definedName name="IQ_PERCENT_CHANGE_EST_PRICE_TARGET_DAY">"c1838"</definedName>
    <definedName name="IQ_PERCENT_CHANGE_EST_PRICE_TARGET_DAY_REUT">"c3947"</definedName>
    <definedName name="IQ_PERCENT_CHANGE_EST_PRICE_TARGET_MONTH">"c1840"</definedName>
    <definedName name="IQ_PERCENT_CHANGE_EST_PRICE_TARGET_MONTH_REUT">"c3948"</definedName>
    <definedName name="IQ_PERCENT_CHANGE_EST_PRICE_TARGET_WEEK">"c1839"</definedName>
    <definedName name="IQ_PERCENT_CHANGE_EST_PRICE_TARGET_WEEK_REUT">"c3967"</definedName>
    <definedName name="IQ_PERCENT_CHANGE_EST_RECO_12MONTHS">"c1836"</definedName>
    <definedName name="IQ_PERCENT_CHANGE_EST_RECO_12MONTHS_REUT">"c3945"</definedName>
    <definedName name="IQ_PERCENT_CHANGE_EST_RECO_18MONTHS">"c1837"</definedName>
    <definedName name="IQ_PERCENT_CHANGE_EST_RECO_18MONTHS_REUT">"c3946"</definedName>
    <definedName name="IQ_PERCENT_CHANGE_EST_RECO_3MONTHS">"c1833"</definedName>
    <definedName name="IQ_PERCENT_CHANGE_EST_RECO_3MONTHS_REUT">"c3942"</definedName>
    <definedName name="IQ_PERCENT_CHANGE_EST_RECO_6MONTHS">"c1834"</definedName>
    <definedName name="IQ_PERCENT_CHANGE_EST_RECO_6MONTHS_REUT">"c3943"</definedName>
    <definedName name="IQ_PERCENT_CHANGE_EST_RECO_9MONTHS">"c1835"</definedName>
    <definedName name="IQ_PERCENT_CHANGE_EST_RECO_9MONTHS_REUT">"c3944"</definedName>
    <definedName name="IQ_PERCENT_CHANGE_EST_RECO_DAY">"c1830"</definedName>
    <definedName name="IQ_PERCENT_CHANGE_EST_RECO_DAY_REUT">"c3940"</definedName>
    <definedName name="IQ_PERCENT_CHANGE_EST_RECO_MONTH">"c1832"</definedName>
    <definedName name="IQ_PERCENT_CHANGE_EST_RECO_MONTH_REUT">"c3941"</definedName>
    <definedName name="IQ_PERCENT_CHANGE_EST_RECO_WEEK">"c1831"</definedName>
    <definedName name="IQ_PERCENT_CHANGE_EST_RECO_WEEK_REUT">"c3965"</definedName>
    <definedName name="IQ_PERCENT_CHANGE_EST_REV_12MONTHS">"c1796"</definedName>
    <definedName name="IQ_PERCENT_CHANGE_EST_REV_12MONTHS_REUT">"c3910"</definedName>
    <definedName name="IQ_PERCENT_CHANGE_EST_REV_18MONTHS">"c1797"</definedName>
    <definedName name="IQ_PERCENT_CHANGE_EST_REV_18MONTHS_REUT">"c3911"</definedName>
    <definedName name="IQ_PERCENT_CHANGE_EST_REV_3MONTHS">"c1793"</definedName>
    <definedName name="IQ_PERCENT_CHANGE_EST_REV_3MONTHS_REUT">"c3907"</definedName>
    <definedName name="IQ_PERCENT_CHANGE_EST_REV_6MONTHS">"c1794"</definedName>
    <definedName name="IQ_PERCENT_CHANGE_EST_REV_6MONTHS_REUT">"c3908"</definedName>
    <definedName name="IQ_PERCENT_CHANGE_EST_REV_9MONTHS">"c1795"</definedName>
    <definedName name="IQ_PERCENT_CHANGE_EST_REV_9MONTHS_REUT">"c3909"</definedName>
    <definedName name="IQ_PERCENT_CHANGE_EST_REV_DAY">"c1790"</definedName>
    <definedName name="IQ_PERCENT_CHANGE_EST_REV_DAY_REUT">"c3904"</definedName>
    <definedName name="IQ_PERCENT_CHANGE_EST_REV_MONTH">"c1792"</definedName>
    <definedName name="IQ_PERCENT_CHANGE_EST_REV_MONTH_REUT">"c3906"</definedName>
    <definedName name="IQ_PERCENT_CHANGE_EST_REV_WEEK">"c1791"</definedName>
    <definedName name="IQ_PERCENT_CHANGE_EST_REV_WEEK_REUT">"c3905"</definedName>
    <definedName name="IQ_PERIODDATE">"c1414"</definedName>
    <definedName name="IQ_PERIODDATE_BS">"c1032"</definedName>
    <definedName name="IQ_PERIODDATE_CF">"c1033"</definedName>
    <definedName name="IQ_PERIODDATE_IS">"c1034"</definedName>
    <definedName name="IQ_PERIODLENGTH_CF">"c1502"</definedName>
    <definedName name="IQ_PERIODLENGTH_IS">"c1503"</definedName>
    <definedName name="IQ_PERTYPE">"c1611"</definedName>
    <definedName name="IQ_PLL">"c2114"</definedName>
    <definedName name="IQ_PMT_FREQ">"c2236"</definedName>
    <definedName name="IQ_POISON_PUT_EFFECT_DATE">"c2486"</definedName>
    <definedName name="IQ_POISON_PUT_EXPIRATION_DATE">"c2487"</definedName>
    <definedName name="IQ_POISON_PUT_PRICE">"c2488"</definedName>
    <definedName name="IQ_POLICY_BENEFITS">"c1036"</definedName>
    <definedName name="IQ_POLICY_COST">"c1037"</definedName>
    <definedName name="IQ_POLICY_LIAB">"c1612"</definedName>
    <definedName name="IQ_POLICY_LOANS">"c1038"</definedName>
    <definedName name="IQ_POST_RETIRE_EXP">"c1039"</definedName>
    <definedName name="IQ_POSTPAID_CHURN">"c2121"</definedName>
    <definedName name="IQ_POSTPAID_SUBS">"c2118"</definedName>
    <definedName name="IQ_POTENTIAL_UPSIDE">"c1855"</definedName>
    <definedName name="IQ_POTENTIAL_UPSIDE_REUT">"c3968"</definedName>
    <definedName name="IQ_PRE_OPEN_COST">"c1040"</definedName>
    <definedName name="IQ_PRE_TAX_ACT_OR_EST">"c2221"</definedName>
    <definedName name="IQ_PRE_TAX_ACT_OR_EST_REUT">"c5467"</definedName>
    <definedName name="IQ_PREF_CONVERT">"c1041"</definedName>
    <definedName name="IQ_PREF_DIV_CF">"c1042"</definedName>
    <definedName name="IQ_PREF_DIV_OTHER">"c1043"</definedName>
    <definedName name="IQ_PREF_DIVID">"c1461"</definedName>
    <definedName name="IQ_PREF_EQUITY">"c1044"</definedName>
    <definedName name="IQ_PREF_ISSUED">"c1045"</definedName>
    <definedName name="IQ_PREF_ISSUED_BNK">"c1046"</definedName>
    <definedName name="IQ_PREF_ISSUED_BR">"c1047"</definedName>
    <definedName name="IQ_PREF_ISSUED_FIN">"c1048"</definedName>
    <definedName name="IQ_PREF_ISSUED_INS">"c1049"</definedName>
    <definedName name="IQ_PREF_ISSUED_REIT">"c1050"</definedName>
    <definedName name="IQ_PREF_ISSUED_UTI">"c1051"</definedName>
    <definedName name="IQ_PREF_NON_REDEEM">"c1052"</definedName>
    <definedName name="IQ_PREF_OTHER">"c1053"</definedName>
    <definedName name="IQ_PREF_OTHER_BNK">"c1054"</definedName>
    <definedName name="IQ_PREF_OTHER_BR">"c1055"</definedName>
    <definedName name="IQ_PREF_OTHER_FIN">"c1056"</definedName>
    <definedName name="IQ_PREF_OTHER_INS">"c1057"</definedName>
    <definedName name="IQ_PREF_OTHER_REIT">"c1058"</definedName>
    <definedName name="IQ_PREF_REDEEM">"c1059"</definedName>
    <definedName name="IQ_PREF_REP">"c1060"</definedName>
    <definedName name="IQ_PREF_REP_BNK">"c1061"</definedName>
    <definedName name="IQ_PREF_REP_BR">"c1062"</definedName>
    <definedName name="IQ_PREF_REP_FIN">"c1063"</definedName>
    <definedName name="IQ_PREF_REP_INS">"c1064"</definedName>
    <definedName name="IQ_PREF_REP_REIT">"c1065"</definedName>
    <definedName name="IQ_PREF_REP_UTI">"c1066"</definedName>
    <definedName name="IQ_PREF_STOCK">"c1416"</definedName>
    <definedName name="IQ_PREF_TOT">"c1415"</definedName>
    <definedName name="IQ_PREMIUMS_ANNUITY_REV">"c1067"</definedName>
    <definedName name="IQ_PREPAID_CHURN">"c2120"</definedName>
    <definedName name="IQ_PREPAID_EXP">"c1068"</definedName>
    <definedName name="IQ_PREPAID_EXPEN">"c1418"</definedName>
    <definedName name="IQ_PREPAID_SUBS">"c2117"</definedName>
    <definedName name="IQ_PRETAX_GW_INC_EST">"c1702"</definedName>
    <definedName name="IQ_PRETAX_GW_INC_EST_REUT">"c5354"</definedName>
    <definedName name="IQ_PRETAX_GW_INC_HIGH_EST">"c1704"</definedName>
    <definedName name="IQ_PRETAX_GW_INC_HIGH_EST_REUT">"c5356"</definedName>
    <definedName name="IQ_PRETAX_GW_INC_LOW_EST">"c1705"</definedName>
    <definedName name="IQ_PRETAX_GW_INC_LOW_EST_REUT">"c5357"</definedName>
    <definedName name="IQ_PRETAX_GW_INC_MEDIAN_EST">"c1703"</definedName>
    <definedName name="IQ_PRETAX_GW_INC_MEDIAN_EST_REUT">"c5355"</definedName>
    <definedName name="IQ_PRETAX_GW_INC_NUM_EST">"c1706"</definedName>
    <definedName name="IQ_PRETAX_GW_INC_NUM_EST_REUT">"c5358"</definedName>
    <definedName name="IQ_PRETAX_GW_INC_STDDEV_EST">"c1707"</definedName>
    <definedName name="IQ_PRETAX_GW_INC_STDDEV_EST_REUT">"c5359"</definedName>
    <definedName name="IQ_PRETAX_INC_EST">"c1695"</definedName>
    <definedName name="IQ_PRETAX_INC_EST_REUT">"c5347"</definedName>
    <definedName name="IQ_PRETAX_INC_HIGH_EST">"c1697"</definedName>
    <definedName name="IQ_PRETAX_INC_HIGH_EST_REUT">"c5349"</definedName>
    <definedName name="IQ_PRETAX_INC_LOW_EST">"c1698"</definedName>
    <definedName name="IQ_PRETAX_INC_LOW_EST_REUT">"c5350"</definedName>
    <definedName name="IQ_PRETAX_INC_MEDIAN_EST">"c1696"</definedName>
    <definedName name="IQ_PRETAX_INC_MEDIAN_EST_REUT">"c5348"</definedName>
    <definedName name="IQ_PRETAX_INC_NUM_EST">"c1699"</definedName>
    <definedName name="IQ_PRETAX_INC_NUM_EST_REUT">"c5351"</definedName>
    <definedName name="IQ_PRETAX_INC_STDDEV_EST">"c1700"</definedName>
    <definedName name="IQ_PRETAX_INC_STDDEV_EST_REUT">"c5352"</definedName>
    <definedName name="IQ_PRETAX_REPORT_INC_EST">"c1709"</definedName>
    <definedName name="IQ_PRETAX_REPORT_INC_EST_REUT">"c5361"</definedName>
    <definedName name="IQ_PRETAX_REPORT_INC_HIGH_EST">"c1711"</definedName>
    <definedName name="IQ_PRETAX_REPORT_INC_HIGH_EST_REUT">"c5363"</definedName>
    <definedName name="IQ_PRETAX_REPORT_INC_LOW_EST">"c1712"</definedName>
    <definedName name="IQ_PRETAX_REPORT_INC_LOW_EST_REUT">"c5364"</definedName>
    <definedName name="IQ_PRETAX_REPORT_INC_MEDIAN_EST">"c1710"</definedName>
    <definedName name="IQ_PRETAX_REPORT_INC_MEDIAN_EST_REUT">"c5362"</definedName>
    <definedName name="IQ_PRETAX_REPORT_INC_NUM_EST">"c1713"</definedName>
    <definedName name="IQ_PRETAX_REPORT_INC_NUM_EST_REUT">"c5365"</definedName>
    <definedName name="IQ_PRETAX_REPORT_INC_STDDEV_EST">"c1714"</definedName>
    <definedName name="IQ_PRETAX_REPORT_INC_STDDEV_EST_REUT">"c5366"</definedName>
    <definedName name="IQ_PRICE_CFPS_FWD">"c2237"</definedName>
    <definedName name="IQ_PRICE_CFPS_FWD_REUT">"c4053"</definedName>
    <definedName name="IQ_PRICE_OVER_BVPS">"c1412"</definedName>
    <definedName name="IQ_PRICE_OVER_LTM_EPS">"c1413"</definedName>
    <definedName name="IQ_PRICE_TARGET">"c82"</definedName>
    <definedName name="IQ_PRICE_TARGET_BOTTOM_UP">"c5486"</definedName>
    <definedName name="IQ_PRICE_TARGET_BOTTOM_UP_REUT">"c5494"</definedName>
    <definedName name="IQ_PRICE_TARGET_REUT">"c3631"</definedName>
    <definedName name="IQ_PRICE_VOLATILITY_EST">"c4492"</definedName>
    <definedName name="IQ_PRICE_VOLATILITY_HIGH">"c4493"</definedName>
    <definedName name="IQ_PRICE_VOLATILITY_LOW">"c4494"</definedName>
    <definedName name="IQ_PRICE_VOLATILITY_MEDIAN">"c4495"</definedName>
    <definedName name="IQ_PRICE_VOLATILITY_NUM">"c4496"</definedName>
    <definedName name="IQ_PRICE_VOLATILITY_STDDEV">"c4497"</definedName>
    <definedName name="IQ_PRICEDATE">"c1069"</definedName>
    <definedName name="IQ_PRICING_DATE">"c1613"</definedName>
    <definedName name="IQ_PRIMARY_EPS_TYPE">"c4498"</definedName>
    <definedName name="IQ_PRIMARY_EPS_TYPE_REUT">"c5481"</definedName>
    <definedName name="IQ_PRIMARY_INDUSTRY">"c1070"</definedName>
    <definedName name="IQ_PRINCIPAL_AMT">"c2157"</definedName>
    <definedName name="IQ_PRIVATE_CONST_TOTAL_APR_FC_UNUSED_UNUSED_UNUSED">"c8559"</definedName>
    <definedName name="IQ_PRIVATE_CONST_TOTAL_APR_UNUSED_UNUSED_UNUSED">"c7679"</definedName>
    <definedName name="IQ_PRIVATE_CONST_TOTAL_FC_UNUSED_UNUSED_UNUSED">"c7899"</definedName>
    <definedName name="IQ_PRIVATE_CONST_TOTAL_POP_FC_UNUSED_UNUSED_UNUSED">"c8119"</definedName>
    <definedName name="IQ_PRIVATE_CONST_TOTAL_POP_UNUSED_UNUSED_UNUSED">"c7239"</definedName>
    <definedName name="IQ_PRIVATE_CONST_TOTAL_UNUSED_UNUSED_UNUSED">"c7019"</definedName>
    <definedName name="IQ_PRIVATE_CONST_TOTAL_YOY_FC_UNUSED_UNUSED_UNUSED">"c8339"</definedName>
    <definedName name="IQ_PRIVATE_CONST_TOTAL_YOY_UNUSED_UNUSED_UNUSED">"c7459"</definedName>
    <definedName name="IQ_PRIVATE_RES_CONST_REAL_APR_FC_UNUSED_UNUSED_UNUSED">"c8535"</definedName>
    <definedName name="IQ_PRIVATE_RES_CONST_REAL_APR_UNUSED_UNUSED_UNUSED">"c7655"</definedName>
    <definedName name="IQ_PRIVATE_RES_CONST_REAL_FC_UNUSED_UNUSED_UNUSED">"c7875"</definedName>
    <definedName name="IQ_PRIVATE_RES_CONST_REAL_POP_FC_UNUSED_UNUSED_UNUSED">"c8095"</definedName>
    <definedName name="IQ_PRIVATE_RES_CONST_REAL_POP_UNUSED_UNUSED_UNUSED">"c7215"</definedName>
    <definedName name="IQ_PRIVATE_RES_CONST_REAL_UNUSED_UNUSED_UNUSED">"c6995"</definedName>
    <definedName name="IQ_PRIVATE_RES_CONST_REAL_YOY_FC_UNUSED_UNUSED_UNUSED">"c8315"</definedName>
    <definedName name="IQ_PRIVATE_RES_CONST_REAL_YOY_UNUSED_UNUSED_UNUSED">"c7435"</definedName>
    <definedName name="IQ_PRO_FORMA_BASIC_EPS">"c1614"</definedName>
    <definedName name="IQ_PRO_FORMA_DILUT_EPS">"c1615"</definedName>
    <definedName name="IQ_PRO_FORMA_NET_INC">"c1452"</definedName>
    <definedName name="IQ_PROFESSIONAL">"c1071"</definedName>
    <definedName name="IQ_PROFESSIONAL_TITLE">"c1072"</definedName>
    <definedName name="IQ_PROJECTED_PENSION_OBLIGATION">"c1292"</definedName>
    <definedName name="IQ_PROJECTED_PENSION_OBLIGATION_DOMESTIC">"c2656"</definedName>
    <definedName name="IQ_PROJECTED_PENSION_OBLIGATION_FOREIGN">"c2664"</definedName>
    <definedName name="IQ_PROPERTY_EXP">"c1073"</definedName>
    <definedName name="IQ_PROPERTY_GROSS">"c1379"</definedName>
    <definedName name="IQ_PROPERTY_MGMT_FEE">"c1074"</definedName>
    <definedName name="IQ_PROPERTY_NET">"c1402"</definedName>
    <definedName name="IQ_PROV_BAD_DEBTS">"c1075"</definedName>
    <definedName name="IQ_PROV_BAD_DEBTS_CF">"c1076"</definedName>
    <definedName name="IQ_PROVISION_10YR_ANN_GROWTH">"c1077"</definedName>
    <definedName name="IQ_PROVISION_1YR_ANN_GROWTH">"c1078"</definedName>
    <definedName name="IQ_PROVISION_2YR_ANN_GROWTH">"c1079"</definedName>
    <definedName name="IQ_PROVISION_3YR_ANN_GROWTH">"c1080"</definedName>
    <definedName name="IQ_PROVISION_5YR_ANN_GROWTH">"c1081"</definedName>
    <definedName name="IQ_PROVISION_7YR_ANN_GROWTH">"c1082"</definedName>
    <definedName name="IQ_PROVISION_CHARGE_OFFS">"c1083"</definedName>
    <definedName name="IQ_PTBV">"c1084"</definedName>
    <definedName name="IQ_PTBV_AVG">"c1085"</definedName>
    <definedName name="IQ_PURCHASES_EQUIP_NONRES_SAAR_APR_FC_UNUSED_UNUSED_UNUSED">"c8491"</definedName>
    <definedName name="IQ_PURCHASES_EQUIP_NONRES_SAAR_APR_UNUSED_UNUSED_UNUSED">"c7611"</definedName>
    <definedName name="IQ_PURCHASES_EQUIP_NONRES_SAAR_FC_UNUSED_UNUSED_UNUSED">"c7831"</definedName>
    <definedName name="IQ_PURCHASES_EQUIP_NONRES_SAAR_POP_FC_UNUSED_UNUSED_UNUSED">"c8051"</definedName>
    <definedName name="IQ_PURCHASES_EQUIP_NONRES_SAAR_POP_UNUSED_UNUSED_UNUSED">"c7171"</definedName>
    <definedName name="IQ_PURCHASES_EQUIP_NONRES_SAAR_UNUSED_UNUSED_UNUSED">"c6951"</definedName>
    <definedName name="IQ_PURCHASES_EQUIP_NONRES_SAAR_YOY_FC_UNUSED_UNUSED_UNUSED">"c8271"</definedName>
    <definedName name="IQ_PURCHASES_EQUIP_NONRES_SAAR_YOY_UNUSED_UNUSED_UNUSED">"c7391"</definedName>
    <definedName name="IQ_PUT_DATE_SCHEDULE">"c2483"</definedName>
    <definedName name="IQ_PUT_NOTIFICATION">"c2485"</definedName>
    <definedName name="IQ_PUT_PRICE_SCHEDULE">"c2484"</definedName>
    <definedName name="IQ_QTD">750000</definedName>
    <definedName name="IQ_QUICK_RATIO">"c1086"</definedName>
    <definedName name="IQ_RATE_COMP_GROWTH_DOMESTIC">"c1087"</definedName>
    <definedName name="IQ_RATE_COMP_GROWTH_FOREIGN">"c1088"</definedName>
    <definedName name="IQ_RAW_INV">"c1089"</definedName>
    <definedName name="IQ_RC">"c2497"</definedName>
    <definedName name="IQ_RC_PCT">"c2498"</definedName>
    <definedName name="IQ_RD_EXP">"c1090"</definedName>
    <definedName name="IQ_RD_EXP_FN">"c1091"</definedName>
    <definedName name="IQ_RE">"c1092"</definedName>
    <definedName name="IQ_REAL_ESTATE">"c1093"</definedName>
    <definedName name="IQ_REAL_ESTATE_ASSETS">"c1094"</definedName>
    <definedName name="IQ_RECURRING_PROFIT_ACT_OR_EST">"c4507"</definedName>
    <definedName name="IQ_RECURRING_PROFIT_EST">"c4499"</definedName>
    <definedName name="IQ_RECURRING_PROFIT_GUIDANCE">"c4500"</definedName>
    <definedName name="IQ_RECURRING_PROFIT_HIGH_EST">"c4501"</definedName>
    <definedName name="IQ_RECURRING_PROFIT_HIGH_GUIDANCE">"c4179"</definedName>
    <definedName name="IQ_RECURRING_PROFIT_LOW_EST">"c4502"</definedName>
    <definedName name="IQ_RECURRING_PROFIT_LOW_GUIDANCE">"c4219"</definedName>
    <definedName name="IQ_RECURRING_PROFIT_MEDIAN_EST">"c4503"</definedName>
    <definedName name="IQ_RECURRING_PROFIT_NUM_EST">"c4504"</definedName>
    <definedName name="IQ_RECURRING_PROFIT_SHARE_ACT_OR_EST">"c4508"</definedName>
    <definedName name="IQ_RECURRING_PROFIT_SHARE_EST">"c4506"</definedName>
    <definedName name="IQ_RECURRING_PROFIT_SHARE_GUIDANCE">"c4509"</definedName>
    <definedName name="IQ_RECURRING_PROFIT_SHARE_HIGH_EST">"c4510"</definedName>
    <definedName name="IQ_RECURRING_PROFIT_SHARE_HIGH_GUIDANCE">"c4200"</definedName>
    <definedName name="IQ_RECURRING_PROFIT_SHARE_LOW_EST">"c4511"</definedName>
    <definedName name="IQ_RECURRING_PROFIT_SHARE_LOW_GUIDANCE">"c4240"</definedName>
    <definedName name="IQ_RECURRING_PROFIT_SHARE_MEDIAN_EST">"c4512"</definedName>
    <definedName name="IQ_RECURRING_PROFIT_SHARE_NUM_EST">"c4513"</definedName>
    <definedName name="IQ_RECURRING_PROFIT_SHARE_STDDEV_EST">"c4514"</definedName>
    <definedName name="IQ_RECURRING_PROFIT_STDDEV_EST">"c4516"</definedName>
    <definedName name="IQ_REDEEM_PREF_STOCK">"c1417"</definedName>
    <definedName name="IQ_REG_ASSETS">"c1095"</definedName>
    <definedName name="IQ_REINSUR_PAY">"c1096"</definedName>
    <definedName name="IQ_REINSUR_PAY_CF">"c1097"</definedName>
    <definedName name="IQ_REINSUR_RECOVER">"c1098"</definedName>
    <definedName name="IQ_REINSUR_RECOVER_CF">"c1099"</definedName>
    <definedName name="IQ_REINSURANCE">"c1100"</definedName>
    <definedName name="IQ_RENTAL_REV">"c1101"</definedName>
    <definedName name="IQ_RES_CONST_REAL_APR_FC_UNUSED_UNUSED_UNUSED">"c8536"</definedName>
    <definedName name="IQ_RES_CONST_REAL_APR_UNUSED_UNUSED_UNUSED">"c7656"</definedName>
    <definedName name="IQ_RES_CONST_REAL_FC_UNUSED_UNUSED_UNUSED">"c7876"</definedName>
    <definedName name="IQ_RES_CONST_REAL_POP_FC_UNUSED_UNUSED_UNUSED">"c8096"</definedName>
    <definedName name="IQ_RES_CONST_REAL_POP_UNUSED_UNUSED_UNUSED">"c7216"</definedName>
    <definedName name="IQ_RES_CONST_REAL_SAAR_APR_FC_UNUSED_UNUSED_UNUSED">"c8537"</definedName>
    <definedName name="IQ_RES_CONST_REAL_SAAR_APR_UNUSED_UNUSED_UNUSED">"c7657"</definedName>
    <definedName name="IQ_RES_CONST_REAL_SAAR_FC_UNUSED_UNUSED_UNUSED">"c7877"</definedName>
    <definedName name="IQ_RES_CONST_REAL_SAAR_POP_FC_UNUSED_UNUSED_UNUSED">"c8097"</definedName>
    <definedName name="IQ_RES_CONST_REAL_SAAR_POP_UNUSED_UNUSED_UNUSED">"c7217"</definedName>
    <definedName name="IQ_RES_CONST_REAL_SAAR_UNUSED_UNUSED_UNUSED">"c6997"</definedName>
    <definedName name="IQ_RES_CONST_REAL_SAAR_YOY_FC_UNUSED_UNUSED_UNUSED">"c8317"</definedName>
    <definedName name="IQ_RES_CONST_REAL_SAAR_YOY_UNUSED_UNUSED_UNUSED">"c7437"</definedName>
    <definedName name="IQ_RES_CONST_REAL_UNUSED_UNUSED_UNUSED">"c6996"</definedName>
    <definedName name="IQ_RES_CONST_REAL_YOY_FC_UNUSED_UNUSED_UNUSED">"c8316"</definedName>
    <definedName name="IQ_RES_CONST_REAL_YOY_UNUSED_UNUSED_UNUSED">"c7436"</definedName>
    <definedName name="IQ_RES_CONST_SAAR_APR_FC_UNUSED_UNUSED_UNUSED">"c8540"</definedName>
    <definedName name="IQ_RES_CONST_SAAR_APR_UNUSED_UNUSED_UNUSED">"c7660"</definedName>
    <definedName name="IQ_RES_CONST_SAAR_FC_UNUSED_UNUSED_UNUSED">"c7880"</definedName>
    <definedName name="IQ_RES_CONST_SAAR_POP_FC_UNUSED_UNUSED_UNUSED">"c8100"</definedName>
    <definedName name="IQ_RES_CONST_SAAR_POP_UNUSED_UNUSED_UNUSED">"c7220"</definedName>
    <definedName name="IQ_RES_CONST_SAAR_UNUSED_UNUSED_UNUSED">"c7000"</definedName>
    <definedName name="IQ_RES_CONST_SAAR_YOY_FC_UNUSED_UNUSED_UNUSED">"c8320"</definedName>
    <definedName name="IQ_RES_CONST_SAAR_YOY_UNUSED_UNUSED_UNUSED">"c7440"</definedName>
    <definedName name="IQ_RESEARCH_DEV">"c1419"</definedName>
    <definedName name="IQ_RESIDENTIAL_LOANS">"c1102"</definedName>
    <definedName name="IQ_RESTATEMENT_BS">"c1643"</definedName>
    <definedName name="IQ_RESTATEMENT_CF">"c1644"</definedName>
    <definedName name="IQ_RESTATEMENT_IS">"c1642"</definedName>
    <definedName name="IQ_RESTR_STOCK_COMP">"c3506"</definedName>
    <definedName name="IQ_RESTR_STOCK_COMP_PRETAX">"c3504"</definedName>
    <definedName name="IQ_RESTR_STOCK_COMP_TAX">"c3505"</definedName>
    <definedName name="IQ_RESTRICTED_CASH">"c1103"</definedName>
    <definedName name="IQ_RESTRUCTURE">"c1104"</definedName>
    <definedName name="IQ_RESTRUCTURE_BNK">"c1105"</definedName>
    <definedName name="IQ_RESTRUCTURE_BR">"c1106"</definedName>
    <definedName name="IQ_RESTRUCTURE_CF">"c1107"</definedName>
    <definedName name="IQ_RESTRUCTURE_FIN">"c1108"</definedName>
    <definedName name="IQ_RESTRUCTURE_INS">"c1109"</definedName>
    <definedName name="IQ_RESTRUCTURE_REIT">"c1110"</definedName>
    <definedName name="IQ_RESTRUCTURE_UTI">"c1111"</definedName>
    <definedName name="IQ_RESTRUCTURED_LOANS">"c1112"</definedName>
    <definedName name="IQ_RETAIL_ACQUIRED_FRANCHISE_STORES">"c2903"</definedName>
    <definedName name="IQ_RETAIL_ACQUIRED_OWNED_STORES">"c2895"</definedName>
    <definedName name="IQ_RETAIL_ACQUIRED_STORES">"c2887"</definedName>
    <definedName name="IQ_RETAIL_AVG_STORE_SIZE_GROSS">"c2066"</definedName>
    <definedName name="IQ_RETAIL_AVG_STORE_SIZE_NET">"c2067"</definedName>
    <definedName name="IQ_RETAIL_AVG_WK_SALES">"c2891"</definedName>
    <definedName name="IQ_RETAIL_AVG_WK_SALES_FRANCHISE">"c2899"</definedName>
    <definedName name="IQ_RETAIL_AVG_WK_SALES_OWNED">"c2907"</definedName>
    <definedName name="IQ_RETAIL_CLOSED_FRANCHISE_STORES">"c2896"</definedName>
    <definedName name="IQ_RETAIL_CLOSED_OWNED_STORES">"c2904"</definedName>
    <definedName name="IQ_RETAIL_CLOSED_STORES">"c2063"</definedName>
    <definedName name="IQ_RETAIL_FRANCHISE_STORES_BEG">"c2893"</definedName>
    <definedName name="IQ_RETAIL_OPENED_FRANCHISE_STORES">"c2894"</definedName>
    <definedName name="IQ_RETAIL_OPENED_OWNED_STORES">"c2902"</definedName>
    <definedName name="IQ_RETAIL_OPENED_STORES">"c2062"</definedName>
    <definedName name="IQ_RETAIL_OWNED_STORES_BEG">"c2901"</definedName>
    <definedName name="IQ_RETAIL_SALES_SQFT_ALL_GROSS">"c2138"</definedName>
    <definedName name="IQ_RETAIL_SALES_SQFT_ALL_NET">"c2139"</definedName>
    <definedName name="IQ_RETAIL_SALES_SQFT_COMPARABLE_GROSS">"c2136"</definedName>
    <definedName name="IQ_RETAIL_SALES_SQFT_COMPARABLE_NET">"c2137"</definedName>
    <definedName name="IQ_RETAIL_SALES_SQFT_OWNED_GROSS">"c2134"</definedName>
    <definedName name="IQ_RETAIL_SALES_SQFT_OWNED_NET">"c2135"</definedName>
    <definedName name="IQ_RETAIL_SOLD_FRANCHISE_STORES">"c2897"</definedName>
    <definedName name="IQ_RETAIL_SOLD_OWNED_STORES">"c2905"</definedName>
    <definedName name="IQ_RETAIL_SOLD_STORES">"c2889"</definedName>
    <definedName name="IQ_RETAIL_SQ_FOOTAGE">"c2064"</definedName>
    <definedName name="IQ_RETAIL_STORE_SELLING_AREA">"c2065"</definedName>
    <definedName name="IQ_RETAIL_STORES_BEG">"c2885"</definedName>
    <definedName name="IQ_RETAIL_TOTAL_FRANCHISE_STORES">"c2898"</definedName>
    <definedName name="IQ_RETAIL_TOTAL_OWNED_STORES">"c2906"</definedName>
    <definedName name="IQ_RETAIL_TOTAL_STORES">"c2061"</definedName>
    <definedName name="IQ_RETAINED_EARN">"c1420"</definedName>
    <definedName name="IQ_RETURN_ASSETS">"c1113"</definedName>
    <definedName name="IQ_RETURN_ASSETS_ACT_OR_EST">"c3585"</definedName>
    <definedName name="IQ_RETURN_ASSETS_ACT_OR_EST_REUT">"c5475"</definedName>
    <definedName name="IQ_RETURN_ASSETS_BANK">"c1114"</definedName>
    <definedName name="IQ_RETURN_ASSETS_BROK">"c1115"</definedName>
    <definedName name="IQ_RETURN_ASSETS_EST">"c3529"</definedName>
    <definedName name="IQ_RETURN_ASSETS_EST_REUT">"c3990"</definedName>
    <definedName name="IQ_RETURN_ASSETS_FS">"c1116"</definedName>
    <definedName name="IQ_RETURN_ASSETS_GUIDANCE">"c4517"</definedName>
    <definedName name="IQ_RETURN_ASSETS_HIGH_EST">"c3530"</definedName>
    <definedName name="IQ_RETURN_ASSETS_HIGH_EST_REUT">"c3992"</definedName>
    <definedName name="IQ_RETURN_ASSETS_HIGH_GUIDANCE">"c4183"</definedName>
    <definedName name="IQ_RETURN_ASSETS_LOW_EST">"c3531"</definedName>
    <definedName name="IQ_RETURN_ASSETS_LOW_EST_REUT">"c3993"</definedName>
    <definedName name="IQ_RETURN_ASSETS_LOW_GUIDANCE">"c4223"</definedName>
    <definedName name="IQ_RETURN_ASSETS_MEDIAN_EST">"c3532"</definedName>
    <definedName name="IQ_RETURN_ASSETS_MEDIAN_EST_REUT">"c3991"</definedName>
    <definedName name="IQ_RETURN_ASSETS_NUM_EST">"c3527"</definedName>
    <definedName name="IQ_RETURN_ASSETS_NUM_EST_REUT">"c3994"</definedName>
    <definedName name="IQ_RETURN_ASSETS_STDDEV_EST">"c3528"</definedName>
    <definedName name="IQ_RETURN_ASSETS_STDDEV_EST_REUT">"c3995"</definedName>
    <definedName name="IQ_RETURN_CAPITAL">"c1117"</definedName>
    <definedName name="IQ_RETURN_EQUITY">"c1118"</definedName>
    <definedName name="IQ_RETURN_EQUITY_ACT_OR_EST">"c3586"</definedName>
    <definedName name="IQ_RETURN_EQUITY_ACT_OR_EST_REUT">"c5476"</definedName>
    <definedName name="IQ_RETURN_EQUITY_BANK">"c1119"</definedName>
    <definedName name="IQ_RETURN_EQUITY_BROK">"c1120"</definedName>
    <definedName name="IQ_RETURN_EQUITY_EST">"c3535"</definedName>
    <definedName name="IQ_RETURN_EQUITY_EST_REUT">"c3983"</definedName>
    <definedName name="IQ_RETURN_EQUITY_FS">"c1121"</definedName>
    <definedName name="IQ_RETURN_EQUITY_GUIDANCE">"c4518"</definedName>
    <definedName name="IQ_RETURN_EQUITY_HIGH_EST">"c3536"</definedName>
    <definedName name="IQ_RETURN_EQUITY_HIGH_EST_REUT">"c3985"</definedName>
    <definedName name="IQ_RETURN_EQUITY_HIGH_GUIDANCE">"c4182"</definedName>
    <definedName name="IQ_RETURN_EQUITY_LOW_EST">"c3537"</definedName>
    <definedName name="IQ_RETURN_EQUITY_LOW_EST_REUT">"c3986"</definedName>
    <definedName name="IQ_RETURN_EQUITY_LOW_GUIDANCE">"c4222"</definedName>
    <definedName name="IQ_RETURN_EQUITY_MEDIAN_EST">"c3538"</definedName>
    <definedName name="IQ_RETURN_EQUITY_MEDIAN_EST_REUT">"c3984"</definedName>
    <definedName name="IQ_RETURN_EQUITY_NUM_EST">"c3533"</definedName>
    <definedName name="IQ_RETURN_EQUITY_NUM_EST_REUT">"c3987"</definedName>
    <definedName name="IQ_RETURN_EQUITY_STDDEV_EST">"c3534"</definedName>
    <definedName name="IQ_RETURN_EQUITY_STDDEV_EST_REUT">"c3988"</definedName>
    <definedName name="IQ_RETURN_INVESTMENT">"c1421"</definedName>
    <definedName name="IQ_REV">"c1122"</definedName>
    <definedName name="IQ_REV_BEFORE_LL">"c1123"</definedName>
    <definedName name="IQ_REV_STDDEV_EST">"c1124"</definedName>
    <definedName name="IQ_REV_STDDEV_EST_REUT">"c3639"</definedName>
    <definedName name="IQ_REV_UTI">"c1125"</definedName>
    <definedName name="IQ_REVENUE">"c1422"</definedName>
    <definedName name="IQ_REVENUE_ACT_OR_EST">"c2214"</definedName>
    <definedName name="IQ_REVENUE_ACT_OR_EST_REUT">"c5461"</definedName>
    <definedName name="IQ_REVENUE_EST">"c1126"</definedName>
    <definedName name="IQ_REVENUE_EST_BOTTOM_UP">"c5488"</definedName>
    <definedName name="IQ_REVENUE_EST_BOTTOM_UP_REUT">"c5496"</definedName>
    <definedName name="IQ_REVENUE_EST_REUT">"c3634"</definedName>
    <definedName name="IQ_REVENUE_GUIDANCE">"c4519"</definedName>
    <definedName name="IQ_REVENUE_HIGH_EST">"c1127"</definedName>
    <definedName name="IQ_REVENUE_HIGH_EST_REUT">"c3636"</definedName>
    <definedName name="IQ_REVENUE_HIGH_GUIDANCE">"c4169"</definedName>
    <definedName name="IQ_REVENUE_LOW_EST">"c1128"</definedName>
    <definedName name="IQ_REVENUE_LOW_EST_REUT">"c3637"</definedName>
    <definedName name="IQ_REVENUE_LOW_GUIDANCE">"c4209"</definedName>
    <definedName name="IQ_REVENUE_MEDIAN_EST">"c1662"</definedName>
    <definedName name="IQ_REVENUE_MEDIAN_EST_REUT">"c3635"</definedName>
    <definedName name="IQ_REVENUE_NUM_EST">"c1129"</definedName>
    <definedName name="IQ_REVENUE_NUM_EST_REUT">"c3638"</definedName>
    <definedName name="IQ_REVISION_DATE_">39146.6632060185</definedName>
    <definedName name="IQ_REVOLVING_SECURED_1_4_NON_ACCRUAL_FFIEC">"c13314"</definedName>
    <definedName name="IQ_RISK_ADJ_BANK_ASSETS">"c2670"</definedName>
    <definedName name="IQ_SALARY">"c1130"</definedName>
    <definedName name="IQ_SALE_INTAN_CF">"c1131"</definedName>
    <definedName name="IQ_SALE_INTAN_CF_BNK">"c1132"</definedName>
    <definedName name="IQ_SALE_INTAN_CF_BR">"c1133"</definedName>
    <definedName name="IQ_SALE_INTAN_CF_FIN">"c1134"</definedName>
    <definedName name="IQ_SALE_INTAN_CF_INS">"c1135"</definedName>
    <definedName name="IQ_SALE_INTAN_CF_REIT">"c1627"</definedName>
    <definedName name="IQ_SALE_INTAN_CF_UTI">"c1136"</definedName>
    <definedName name="IQ_SALE_PPE_CF">"c1137"</definedName>
    <definedName name="IQ_SALE_PPE_CF_BNK">"c1138"</definedName>
    <definedName name="IQ_SALE_PPE_CF_BR">"c1139"</definedName>
    <definedName name="IQ_SALE_PPE_CF_FIN">"c1140"</definedName>
    <definedName name="IQ_SALE_PPE_CF_INS">"c1141"</definedName>
    <definedName name="IQ_SALE_PPE_CF_UTI">"c1142"</definedName>
    <definedName name="IQ_SALE_RE_ASSETS">"c1629"</definedName>
    <definedName name="IQ_SALE_REAL_ESTATE_CF">"c1143"</definedName>
    <definedName name="IQ_SALE_REAL_ESTATE_CF_BNK">"c1144"</definedName>
    <definedName name="IQ_SALE_REAL_ESTATE_CF_BR">"c1145"</definedName>
    <definedName name="IQ_SALE_REAL_ESTATE_CF_FIN">"c1146"</definedName>
    <definedName name="IQ_SALE_REAL_ESTATE_CF_INS">"c1147"</definedName>
    <definedName name="IQ_SALE_REAL_ESTATE_CF_UTI">"c1148"</definedName>
    <definedName name="IQ_SALES_MARKETING">"c2240"</definedName>
    <definedName name="IQ_SAME_STORE">"c1149"</definedName>
    <definedName name="IQ_SAME_STORE_FRANCHISE">"c2900"</definedName>
    <definedName name="IQ_SAME_STORE_OWNED">"c2908"</definedName>
    <definedName name="IQ_SAME_STORE_TOTAL">"c2892"</definedName>
    <definedName name="IQ_SAVING_DEP">"c1150"</definedName>
    <definedName name="IQ_SEC_PURCHASED_RESELL">"c5513"</definedName>
    <definedName name="IQ_SECUR_RECEIV">"c1151"</definedName>
    <definedName name="IQ_SECURED_DEBT">"c2546"</definedName>
    <definedName name="IQ_SECURED_DEBT_PCT">"c2547"</definedName>
    <definedName name="IQ_SECURITY_BORROW">"c1152"</definedName>
    <definedName name="IQ_SECURITY_LEVEL">"c2159"</definedName>
    <definedName name="IQ_SECURITY_NOTES">"c2202"</definedName>
    <definedName name="IQ_SECURITY_OWN">"c1153"</definedName>
    <definedName name="IQ_SECURITY_RESELL">"c1154"</definedName>
    <definedName name="IQ_SECURITY_TYPE">"c2158"</definedName>
    <definedName name="IQ_SEPARATE_ACCT_ASSETS">"c1155"</definedName>
    <definedName name="IQ_SEPARATE_ACCT_LIAB">"c1156"</definedName>
    <definedName name="IQ_SERV_CHARGE_DEPOSITS">"c1157"</definedName>
    <definedName name="IQ_SGA">"c1158"</definedName>
    <definedName name="IQ_SGA_BNK">"c1159"</definedName>
    <definedName name="IQ_SGA_INS">"c1160"</definedName>
    <definedName name="IQ_SGA_MARGIN">"c1898"</definedName>
    <definedName name="IQ_SGA_REIT">"c1161"</definedName>
    <definedName name="IQ_SGA_SUPPL">"c1162"</definedName>
    <definedName name="IQ_SGA_UTI">"c1163"</definedName>
    <definedName name="IQ_SHAREOUTSTANDING">"c1347"</definedName>
    <definedName name="IQ_SHARESOUTSTANDING">"c1164"</definedName>
    <definedName name="IQ_SHORT_INTEREST">"c1165"</definedName>
    <definedName name="IQ_SHORT_INTEREST_OVER_FLOAT">"c1577"</definedName>
    <definedName name="IQ_SHORT_INTEREST_PERCENT">"c1576"</definedName>
    <definedName name="IQ_SHORT_TERM_INVEST">"c1425"</definedName>
    <definedName name="IQ_SMALL_INT_BEAR_CD">"c1166"</definedName>
    <definedName name="IQ_SOFTWARE">"c1167"</definedName>
    <definedName name="IQ_SOURCE">"c1168"</definedName>
    <definedName name="IQ_SP">"c2171"</definedName>
    <definedName name="IQ_SP_BANK">"c2637"</definedName>
    <definedName name="IQ_SP_BANK_ACTION">"c2636"</definedName>
    <definedName name="IQ_SP_BANK_DATE">"c2635"</definedName>
    <definedName name="IQ_SP_DATE">"c2172"</definedName>
    <definedName name="IQ_SP_FIN_ENHANCE_FX">"c2631"</definedName>
    <definedName name="IQ_SP_FIN_ENHANCE_FX_ACTION">"c2630"</definedName>
    <definedName name="IQ_SP_FIN_ENHANCE_FX_DATE">"c2629"</definedName>
    <definedName name="IQ_SP_FIN_ENHANCE_LC">"c2634"</definedName>
    <definedName name="IQ_SP_FIN_ENHANCE_LC_ACTION">"c2633"</definedName>
    <definedName name="IQ_SP_FIN_ENHANCE_LC_DATE">"c2632"</definedName>
    <definedName name="IQ_SP_FIN_STRENGTH_LC_ACTION_LT">"c2625"</definedName>
    <definedName name="IQ_SP_FIN_STRENGTH_LC_ACTION_ST">"c2626"</definedName>
    <definedName name="IQ_SP_FIN_STRENGTH_LC_DATE_LT">"c2623"</definedName>
    <definedName name="IQ_SP_FIN_STRENGTH_LC_DATE_ST">"c2624"</definedName>
    <definedName name="IQ_SP_FIN_STRENGTH_LC_LT">"c2627"</definedName>
    <definedName name="IQ_SP_FIN_STRENGTH_LC_ST">"c2628"</definedName>
    <definedName name="IQ_SP_FX_ACTION_LT">"c2613"</definedName>
    <definedName name="IQ_SP_FX_ACTION_ST">"c2614"</definedName>
    <definedName name="IQ_SP_FX_DATE_LT">"c2611"</definedName>
    <definedName name="IQ_SP_FX_DATE_ST">"c2612"</definedName>
    <definedName name="IQ_SP_FX_LT">"c2615"</definedName>
    <definedName name="IQ_SP_FX_ST">"c2616"</definedName>
    <definedName name="IQ_SP_ISSUE_ACTION">"c2644"</definedName>
    <definedName name="IQ_SP_ISSUE_DATE">"c2643"</definedName>
    <definedName name="IQ_SP_ISSUE_LT">"c2645"</definedName>
    <definedName name="IQ_SP_ISSUE_OUTLOOK_WATCH">"c2650"</definedName>
    <definedName name="IQ_SP_ISSUE_OUTLOOK_WATCH_DATE">"c2649"</definedName>
    <definedName name="IQ_SP_ISSUE_RECOVER">"c2648"</definedName>
    <definedName name="IQ_SP_ISSUE_RECOVER_ACTION">"c2647"</definedName>
    <definedName name="IQ_SP_ISSUE_RECOVER_DATE">"c2646"</definedName>
    <definedName name="IQ_SP_LC_ACTION_LT">"c2619"</definedName>
    <definedName name="IQ_SP_LC_ACTION_ST">"c2620"</definedName>
    <definedName name="IQ_SP_LC_DATE_LT">"c2617"</definedName>
    <definedName name="IQ_SP_LC_DATE_ST">"c2618"</definedName>
    <definedName name="IQ_SP_LC_LT">"c2621"</definedName>
    <definedName name="IQ_SP_LC_ST">"c2622"</definedName>
    <definedName name="IQ_SP_OUTLOOK_WATCH">"c2639"</definedName>
    <definedName name="IQ_SP_OUTLOOK_WATCH_DATE">"c2638"</definedName>
    <definedName name="IQ_SP_REASON">"c2174"</definedName>
    <definedName name="IQ_SP_STATUS">"c2173"</definedName>
    <definedName name="IQ_SPECIAL_DIV_CF">"c1169"</definedName>
    <definedName name="IQ_SPECIAL_DIV_CF_BNK">"c1170"</definedName>
    <definedName name="IQ_SPECIAL_DIV_CF_BR">"c1171"</definedName>
    <definedName name="IQ_SPECIAL_DIV_CF_FIN">"c1172"</definedName>
    <definedName name="IQ_SPECIAL_DIV_CF_INS">"c1173"</definedName>
    <definedName name="IQ_SPECIAL_DIV_CF_REIT">"c1174"</definedName>
    <definedName name="IQ_SPECIAL_DIV_CF_UTI">"c1175"</definedName>
    <definedName name="IQ_SPECIAL_DIV_SHARE">"c3007"</definedName>
    <definedName name="IQ_SR_BONDS_NOTES">"c2501"</definedName>
    <definedName name="IQ_SR_BONDS_NOTES_PCT">"c2502"</definedName>
    <definedName name="IQ_SR_DEBT">"c2526"</definedName>
    <definedName name="IQ_SR_DEBT_EBITDA">"c2552"</definedName>
    <definedName name="IQ_SR_DEBT_EBITDA_CAPEX">"c2553"</definedName>
    <definedName name="IQ_SR_DEBT_PCT">"c2527"</definedName>
    <definedName name="IQ_SR_SUB_DEBT">"c2530"</definedName>
    <definedName name="IQ_SR_SUB_DEBT_EBITDA">"c2556"</definedName>
    <definedName name="IQ_SR_SUB_DEBT_EBITDA_CAPEX">"c2557"</definedName>
    <definedName name="IQ_SR_SUB_DEBT_PCT">"c2531"</definedName>
    <definedName name="IQ_ST_DEBT">"c1176"</definedName>
    <definedName name="IQ_ST_DEBT_BNK">"c1177"</definedName>
    <definedName name="IQ_ST_DEBT_BR">"c1178"</definedName>
    <definedName name="IQ_ST_DEBT_FIN">"c1179"</definedName>
    <definedName name="IQ_ST_DEBT_INS">"c1180"</definedName>
    <definedName name="IQ_ST_DEBT_ISSUED">"c1181"</definedName>
    <definedName name="IQ_ST_DEBT_ISSUED_BNK">"c1182"</definedName>
    <definedName name="IQ_ST_DEBT_ISSUED_BR">"c1183"</definedName>
    <definedName name="IQ_ST_DEBT_ISSUED_FIN">"c1184"</definedName>
    <definedName name="IQ_ST_DEBT_ISSUED_INS">"c1185"</definedName>
    <definedName name="IQ_ST_DEBT_ISSUED_REIT">"c1186"</definedName>
    <definedName name="IQ_ST_DEBT_ISSUED_UTI">"c1187"</definedName>
    <definedName name="IQ_ST_DEBT_PCT">"c2539"</definedName>
    <definedName name="IQ_ST_DEBT_REIT">"c1188"</definedName>
    <definedName name="IQ_ST_DEBT_REPAID">"c1189"</definedName>
    <definedName name="IQ_ST_DEBT_REPAID_BNK">"c1190"</definedName>
    <definedName name="IQ_ST_DEBT_REPAID_BR">"c1191"</definedName>
    <definedName name="IQ_ST_DEBT_REPAID_FIN">"c1192"</definedName>
    <definedName name="IQ_ST_DEBT_REPAID_INS">"c1193"</definedName>
    <definedName name="IQ_ST_DEBT_REPAID_REIT">"c1194"</definedName>
    <definedName name="IQ_ST_DEBT_REPAID_UTI">"c1195"</definedName>
    <definedName name="IQ_ST_DEBT_UTI">"c1196"</definedName>
    <definedName name="IQ_ST_FHLB_DEBT">"c5658"</definedName>
    <definedName name="IQ_ST_INVEST">"c1197"</definedName>
    <definedName name="IQ_ST_INVEST_UTI">"c1198"</definedName>
    <definedName name="IQ_ST_NOTE_RECEIV">"c1199"</definedName>
    <definedName name="IQ_STATE">"c1200"</definedName>
    <definedName name="IQ_STATUTORY_SURPLUS">"c1201"</definedName>
    <definedName name="IQ_STOCK_BASED">"c1202"</definedName>
    <definedName name="IQ_STOCK_BASED_AT">"c2999"</definedName>
    <definedName name="IQ_STOCK_BASED_CF">"c1203"</definedName>
    <definedName name="IQ_STOCK_BASED_COGS">"c2990"</definedName>
    <definedName name="IQ_STOCK_BASED_COMP">"c3512"</definedName>
    <definedName name="IQ_STOCK_BASED_COMP_PRETAX">"c3510"</definedName>
    <definedName name="IQ_STOCK_BASED_COMP_TAX">"c3511"</definedName>
    <definedName name="IQ_STOCK_BASED_EST">"c4520"</definedName>
    <definedName name="IQ_STOCK_BASED_GA">"c2993"</definedName>
    <definedName name="IQ_STOCK_BASED_HIGH_EST">"c4521"</definedName>
    <definedName name="IQ_STOCK_BASED_LOW_EST">"c4522"</definedName>
    <definedName name="IQ_STOCK_BASED_MEDIAN_EST">"c4523"</definedName>
    <definedName name="IQ_STOCK_BASED_NUM_EST">"c4524"</definedName>
    <definedName name="IQ_STOCK_BASED_OTHER">"c2995"</definedName>
    <definedName name="IQ_STOCK_BASED_RD">"c2991"</definedName>
    <definedName name="IQ_STOCK_BASED_SGA">"c2994"</definedName>
    <definedName name="IQ_STOCK_BASED_SM">"c2992"</definedName>
    <definedName name="IQ_STOCK_BASED_STDDEV_EST">"c4525"</definedName>
    <definedName name="IQ_STOCK_BASED_TOTAL">"c3040"</definedName>
    <definedName name="IQ_STOCK_OPTIONS_COMP">"c3509"</definedName>
    <definedName name="IQ_STOCK_OPTIONS_COMP_PRETAX">"c3507"</definedName>
    <definedName name="IQ_STOCK_OPTIONS_COMP_TAX">"c3508"</definedName>
    <definedName name="IQ_STRIKE_PRICE_ISSUED">"c1645"</definedName>
    <definedName name="IQ_STRIKE_PRICE_OS">"c1646"</definedName>
    <definedName name="IQ_STW">"c2166"</definedName>
    <definedName name="IQ_SUB_BONDS_NOTES">"c2503"</definedName>
    <definedName name="IQ_SUB_BONDS_NOTES_PCT">"c2504"</definedName>
    <definedName name="IQ_SUB_DEBT">"c2532"</definedName>
    <definedName name="IQ_SUB_DEBT_EBITDA">"c2558"</definedName>
    <definedName name="IQ_SUB_DEBT_EBITDA_CAPEX">"c2559"</definedName>
    <definedName name="IQ_SUB_DEBT_PCT">"c2533"</definedName>
    <definedName name="IQ_SUB_LEASE_AFTER_FIVE">"c1207"</definedName>
    <definedName name="IQ_SUB_LEASE_INC_CY">"c1208"</definedName>
    <definedName name="IQ_SUB_LEASE_INC_CY1">"c1209"</definedName>
    <definedName name="IQ_SUB_LEASE_INC_CY2">"c1210"</definedName>
    <definedName name="IQ_SUB_LEASE_INC_CY3">"c1211"</definedName>
    <definedName name="IQ_SUB_LEASE_INC_CY4">"c1212"</definedName>
    <definedName name="IQ_SUB_LEASE_NEXT_FIVE">"c1213"</definedName>
    <definedName name="IQ_SVA">"c1214"</definedName>
    <definedName name="IQ_TARGET_PRICE_NUM">"c1653"</definedName>
    <definedName name="IQ_TARGET_PRICE_NUM_REUT">"c5319"</definedName>
    <definedName name="IQ_TARGET_PRICE_STDDEV">"c1654"</definedName>
    <definedName name="IQ_TARGET_PRICE_STDDEV_REUT">"c5320"</definedName>
    <definedName name="IQ_TAX_BENEFIT_CF_1YR">"c3483"</definedName>
    <definedName name="IQ_TAX_BENEFIT_CF_2YR">"c3484"</definedName>
    <definedName name="IQ_TAX_BENEFIT_CF_3YR">"c3485"</definedName>
    <definedName name="IQ_TAX_BENEFIT_CF_4YR">"c3486"</definedName>
    <definedName name="IQ_TAX_BENEFIT_CF_5YR">"c3487"</definedName>
    <definedName name="IQ_TAX_BENEFIT_CF_AFTER_FIVE">"c3488"</definedName>
    <definedName name="IQ_TAX_BENEFIT_CF_MAX_YEAR">"c3491"</definedName>
    <definedName name="IQ_TAX_BENEFIT_CF_NO_EXP">"c3489"</definedName>
    <definedName name="IQ_TAX_BENEFIT_CF_TOTAL">"c3490"</definedName>
    <definedName name="IQ_TAX_BENEFIT_OPTIONS">"c1215"</definedName>
    <definedName name="IQ_TAX_EQUIV_NET_INT_INC">"c1216"</definedName>
    <definedName name="IQ_TBV">"c1906"</definedName>
    <definedName name="IQ_TBV_10YR_ANN_GROWTH">"c1936"</definedName>
    <definedName name="IQ_TBV_1YR_ANN_GROWTH">"c1931"</definedName>
    <definedName name="IQ_TBV_2YR_ANN_GROWTH">"c1932"</definedName>
    <definedName name="IQ_TBV_3YR_ANN_GROWTH">"c1933"</definedName>
    <definedName name="IQ_TBV_5YR_ANN_GROWTH">"c1934"</definedName>
    <definedName name="IQ_TBV_7YR_ANN_GROWTH">"c1935"</definedName>
    <definedName name="IQ_TBV_SHARE">"c1217"</definedName>
    <definedName name="IQ_TEMPLATE">"c1521"</definedName>
    <definedName name="IQ_TENANT">"c1218"</definedName>
    <definedName name="IQ_TERM_LOANS">"c2499"</definedName>
    <definedName name="IQ_TERM_LOANS_PCT">"c2500"</definedName>
    <definedName name="IQ_TEV">"c1219"</definedName>
    <definedName name="IQ_TEV_EBIT">"c1220"</definedName>
    <definedName name="IQ_TEV_EBIT_AVG">"c1221"</definedName>
    <definedName name="IQ_TEV_EBIT_FWD">"c2238"</definedName>
    <definedName name="IQ_TEV_EBIT_FWD_REUT">"c4054"</definedName>
    <definedName name="IQ_TEV_EBITDA">"c1222"</definedName>
    <definedName name="IQ_TEV_EBITDA_AVG">"c1223"</definedName>
    <definedName name="IQ_TEV_EBITDA_FWD">"c1224"</definedName>
    <definedName name="IQ_TEV_EBITDA_FWD_REUT">"c4050"</definedName>
    <definedName name="IQ_TEV_EMPLOYEE_AVG">"c1225"</definedName>
    <definedName name="IQ_TEV_EST">"c4526"</definedName>
    <definedName name="IQ_TEV_HIGH_EST">"c4527"</definedName>
    <definedName name="IQ_TEV_LOW_EST">"c4528"</definedName>
    <definedName name="IQ_TEV_MEDIAN_EST">"c4529"</definedName>
    <definedName name="IQ_TEV_NUM_EST">"c4530"</definedName>
    <definedName name="IQ_TEV_STDDEV_EST">"c4531"</definedName>
    <definedName name="IQ_TEV_TOTAL_REV">"c1226"</definedName>
    <definedName name="IQ_TEV_TOTAL_REV_AVG">"c1227"</definedName>
    <definedName name="IQ_TEV_TOTAL_REV_FWD">"c1228"</definedName>
    <definedName name="IQ_TEV_TOTAL_REV_FWD_REUT">"c4051"</definedName>
    <definedName name="IQ_TEV_UFCF">"c2208"</definedName>
    <definedName name="IQ_TIER_ONE_CAPITAL">"c2667"</definedName>
    <definedName name="IQ_TIER_ONE_RATIO">"c1229"</definedName>
    <definedName name="IQ_TIER_TWO_CAPITAL">"c2669"</definedName>
    <definedName name="IQ_TIME_DEP">"c1230"</definedName>
    <definedName name="IQ_TODAY">0</definedName>
    <definedName name="IQ_TOT_ADJ_INC">"c1616"</definedName>
    <definedName name="IQ_TOTAL_AR_BR">"c1231"</definedName>
    <definedName name="IQ_TOTAL_AR_REIT">"c1232"</definedName>
    <definedName name="IQ_TOTAL_AR_UTI">"c1233"</definedName>
    <definedName name="IQ_TOTAL_ASSETS">"c1234"</definedName>
    <definedName name="IQ_TOTAL_ASSETS_10YR_ANN_GROWTH">"c1235"</definedName>
    <definedName name="IQ_TOTAL_ASSETS_1YR_ANN_GROWTH">"c1236"</definedName>
    <definedName name="IQ_TOTAL_ASSETS_2YR_ANN_GROWTH">"c1237"</definedName>
    <definedName name="IQ_TOTAL_ASSETS_3YR_ANN_GROWTH">"c1238"</definedName>
    <definedName name="IQ_TOTAL_ASSETS_5YR_ANN_GROWTH">"c1239"</definedName>
    <definedName name="IQ_TOTAL_ASSETS_7YR_ANN_GROWTH">"c1240"</definedName>
    <definedName name="IQ_TOTAL_AVG_CE_TOTAL_AVG_ASSETS">"c1241"</definedName>
    <definedName name="IQ_TOTAL_AVG_EQUITY_TOTAL_AVG_ASSETS">"c1242"</definedName>
    <definedName name="IQ_TOTAL_BANK_CAPITAL">"c2668"</definedName>
    <definedName name="IQ_TOTAL_CA">"c1243"</definedName>
    <definedName name="IQ_TOTAL_CAP">"c1507"</definedName>
    <definedName name="IQ_TOTAL_CAPITAL_RATIO">"c1244"</definedName>
    <definedName name="IQ_TOTAL_CASH_DIVID">"c1455"</definedName>
    <definedName name="IQ_TOTAL_CASH_FINAN">"c1352"</definedName>
    <definedName name="IQ_TOTAL_CASH_INVEST">"c1353"</definedName>
    <definedName name="IQ_TOTAL_CASH_OPER">"c1354"</definedName>
    <definedName name="IQ_TOTAL_CHURN">"c2122"</definedName>
    <definedName name="IQ_TOTAL_CL">"c1245"</definedName>
    <definedName name="IQ_TOTAL_COMMON">"c1411"</definedName>
    <definedName name="IQ_TOTAL_COMMON_EQUITY">"c1246"</definedName>
    <definedName name="IQ_TOTAL_CURRENT_ASSETS">"c1430"</definedName>
    <definedName name="IQ_TOTAL_CURRENT_LIAB">"c1431"</definedName>
    <definedName name="IQ_TOTAL_DEBT">"c1247"</definedName>
    <definedName name="IQ_TOTAL_DEBT_CAPITAL">"c1248"</definedName>
    <definedName name="IQ_TOTAL_DEBT_EBITDA">"c1249"</definedName>
    <definedName name="IQ_TOTAL_DEBT_EBITDA_CAPEX">"c2948"</definedName>
    <definedName name="IQ_TOTAL_DEBT_EQUITY">"c1250"</definedName>
    <definedName name="IQ_TOTAL_DEBT_EST">"c4532"</definedName>
    <definedName name="IQ_TOTAL_DEBT_EXCL_FIN">"c2937"</definedName>
    <definedName name="IQ_TOTAL_DEBT_GUIDANCE">"c4533"</definedName>
    <definedName name="IQ_TOTAL_DEBT_HIGH_EST">"c4534"</definedName>
    <definedName name="IQ_TOTAL_DEBT_HIGH_GUIDANCE">"c4196"</definedName>
    <definedName name="IQ_TOTAL_DEBT_ISSUED">"c1251"</definedName>
    <definedName name="IQ_TOTAL_DEBT_ISSUED_BNK">"c1252"</definedName>
    <definedName name="IQ_TOTAL_DEBT_ISSUED_BR">"c1253"</definedName>
    <definedName name="IQ_TOTAL_DEBT_ISSUED_FIN">"c1254"</definedName>
    <definedName name="IQ_TOTAL_DEBT_ISSUED_REIT">"c1255"</definedName>
    <definedName name="IQ_TOTAL_DEBT_ISSUED_UTI">"c1256"</definedName>
    <definedName name="IQ_TOTAL_DEBT_ISSUES_INS">"c1257"</definedName>
    <definedName name="IQ_TOTAL_DEBT_LOW_EST">"c4535"</definedName>
    <definedName name="IQ_TOTAL_DEBT_LOW_GUIDANCE">"c4236"</definedName>
    <definedName name="IQ_TOTAL_DEBT_MEDIAN_EST">"c4536"</definedName>
    <definedName name="IQ_TOTAL_DEBT_NUM_EST">"c4537"</definedName>
    <definedName name="IQ_TOTAL_DEBT_OVER_EBITDA">"c1433"</definedName>
    <definedName name="IQ_TOTAL_DEBT_OVER_TOTAL_BV">"c1434"</definedName>
    <definedName name="IQ_TOTAL_DEBT_OVER_TOTAL_CAP">"c1432"</definedName>
    <definedName name="IQ_TOTAL_DEBT_REPAID">"c1258"</definedName>
    <definedName name="IQ_TOTAL_DEBT_REPAID_BNK">"c1259"</definedName>
    <definedName name="IQ_TOTAL_DEBT_REPAID_BR">"c1260"</definedName>
    <definedName name="IQ_TOTAL_DEBT_REPAID_FIN">"c1261"</definedName>
    <definedName name="IQ_TOTAL_DEBT_REPAID_INS">"c1262"</definedName>
    <definedName name="IQ_TOTAL_DEBT_REPAID_REIT">"c1263"</definedName>
    <definedName name="IQ_TOTAL_DEBT_REPAID_UTI">"c1264"</definedName>
    <definedName name="IQ_TOTAL_DEBT_STDDEV_EST">"c4538"</definedName>
    <definedName name="IQ_TOTAL_DEPOSITS">"c1265"</definedName>
    <definedName name="IQ_TOTAL_DIV_PAID_CF">"c1266"</definedName>
    <definedName name="IQ_TOTAL_EMPLOYEE">"c2141"</definedName>
    <definedName name="IQ_TOTAL_EMPLOYEES">"c1522"</definedName>
    <definedName name="IQ_TOTAL_EQUITY">"c1267"</definedName>
    <definedName name="IQ_TOTAL_EQUITY_10YR_ANN_GROWTH">"c1268"</definedName>
    <definedName name="IQ_TOTAL_EQUITY_1YR_ANN_GROWTH">"c1269"</definedName>
    <definedName name="IQ_TOTAL_EQUITY_2YR_ANN_GROWTH">"c1270"</definedName>
    <definedName name="IQ_TOTAL_EQUITY_3YR_ANN_GROWTH">"c1271"</definedName>
    <definedName name="IQ_TOTAL_EQUITY_5YR_ANN_GROWTH">"c1272"</definedName>
    <definedName name="IQ_TOTAL_EQUITY_7YR_ANN_GROWTH">"c1273"</definedName>
    <definedName name="IQ_TOTAL_EQUITY_ALLOWANCE_TOTAL_LOANS">"c1274"</definedName>
    <definedName name="IQ_TOTAL_INTEREST_EXP">"c1382"</definedName>
    <definedName name="IQ_TOTAL_INVENTORY">"c1385"</definedName>
    <definedName name="IQ_TOTAL_INVEST">"c1275"</definedName>
    <definedName name="IQ_TOTAL_LIAB">"c1276"</definedName>
    <definedName name="IQ_TOTAL_LIAB_BNK">"c1277"</definedName>
    <definedName name="IQ_TOTAL_LIAB_BR">"c1278"</definedName>
    <definedName name="IQ_TOTAL_LIAB_EQUITY">"c1279"</definedName>
    <definedName name="IQ_TOTAL_LIAB_FIN">"c1280"</definedName>
    <definedName name="IQ_TOTAL_LIAB_INS">"c1281"</definedName>
    <definedName name="IQ_TOTAL_LIAB_REIT">"c1282"</definedName>
    <definedName name="IQ_TOTAL_LIAB_SHAREHOLD">"c1435"</definedName>
    <definedName name="IQ_TOTAL_LIAB_TOTAL_ASSETS">"c1283"</definedName>
    <definedName name="IQ_TOTAL_LOANS">"c5653"</definedName>
    <definedName name="IQ_TOTAL_LOANS_LEASES_NON_ACCRUAL_FFIEC">"c13757"</definedName>
    <definedName name="IQ_TOTAL_LONG_DEBT">"c1617"</definedName>
    <definedName name="IQ_TOTAL_NON_REC">"c1444"</definedName>
    <definedName name="IQ_TOTAL_OPER_EXP_BR">"c1284"</definedName>
    <definedName name="IQ_TOTAL_OPER_EXP_FIN">"c1285"</definedName>
    <definedName name="IQ_TOTAL_OPER_EXP_INS">"c1286"</definedName>
    <definedName name="IQ_TOTAL_OPER_EXP_REIT">"c1287"</definedName>
    <definedName name="IQ_TOTAL_OPER_EXP_UTI">"c1288"</definedName>
    <definedName name="IQ_TOTAL_OPER_EXPEN">"c1445"</definedName>
    <definedName name="IQ_TOTAL_OPTIONS_BEG_OS">"c2693"</definedName>
    <definedName name="IQ_TOTAL_OPTIONS_CANCELLED">"c2696"</definedName>
    <definedName name="IQ_TOTAL_OPTIONS_END_OS">"c2697"</definedName>
    <definedName name="IQ_TOTAL_OPTIONS_EXERCISED">"c2695"</definedName>
    <definedName name="IQ_TOTAL_OPTIONS_GRANTED">"c2694"</definedName>
    <definedName name="IQ_TOTAL_OTHER_OPER">"c1289"</definedName>
    <definedName name="IQ_TOTAL_OUTSTANDING_BS_DATE">"c1022"</definedName>
    <definedName name="IQ_TOTAL_OUTSTANDING_FILING_DATE">"c2107"</definedName>
    <definedName name="IQ_TOTAL_PENSION_ASSETS">"c1290"</definedName>
    <definedName name="IQ_TOTAL_PENSION_ASSETS_DOMESTIC">"c2658"</definedName>
    <definedName name="IQ_TOTAL_PENSION_ASSETS_FOREIGN">"c2666"</definedName>
    <definedName name="IQ_TOTAL_PENSION_EXP">"c1291"</definedName>
    <definedName name="IQ_TOTAL_PENSION_OBLIGATION">"c1292"</definedName>
    <definedName name="IQ_TOTAL_PRINCIPAL">"c2509"</definedName>
    <definedName name="IQ_TOTAL_PRINCIPAL_PCT">"c2510"</definedName>
    <definedName name="IQ_TOTAL_PROVED_RESERVES_NGL">"c2924"</definedName>
    <definedName name="IQ_TOTAL_PROVED_RESERVES_OIL">"c2040"</definedName>
    <definedName name="IQ_TOTAL_RECEIV">"c1293"</definedName>
    <definedName name="IQ_TOTAL_REV">"c1294"</definedName>
    <definedName name="IQ_TOTAL_REV_10YR_ANN_GROWTH">"c1295"</definedName>
    <definedName name="IQ_TOTAL_REV_1YR_ANN_GROWTH">"c1296"</definedName>
    <definedName name="IQ_TOTAL_REV_2YR_ANN_GROWTH">"c1297"</definedName>
    <definedName name="IQ_TOTAL_REV_3YR_ANN_GROWTH">"c1298"</definedName>
    <definedName name="IQ_TOTAL_REV_5YR_ANN_GROWTH">"c1299"</definedName>
    <definedName name="IQ_TOTAL_REV_7YR_ANN_GROWTH">"c1300"</definedName>
    <definedName name="IQ_TOTAL_REV_AS_REPORTED">"c1301"</definedName>
    <definedName name="IQ_TOTAL_REV_BNK">"c1302"</definedName>
    <definedName name="IQ_TOTAL_REV_BR">"c1303"</definedName>
    <definedName name="IQ_TOTAL_REV_EMPLOYEE">"c1304"</definedName>
    <definedName name="IQ_TOTAL_REV_FIN">"c1305"</definedName>
    <definedName name="IQ_TOTAL_REV_INS">"c1306"</definedName>
    <definedName name="IQ_TOTAL_REV_REIT">"c1307"</definedName>
    <definedName name="IQ_TOTAL_REV_SHARE">"c1912"</definedName>
    <definedName name="IQ_TOTAL_REV_UTI">"c1308"</definedName>
    <definedName name="IQ_TOTAL_REVENUE">"c1436"</definedName>
    <definedName name="IQ_TOTAL_SPECIAL">"c1618"</definedName>
    <definedName name="IQ_TOTAL_ST_BORROW">"c1424"</definedName>
    <definedName name="IQ_TOTAL_SUB_DEBT">"c2528"</definedName>
    <definedName name="IQ_TOTAL_SUB_DEBT_EBITDA">"c2554"</definedName>
    <definedName name="IQ_TOTAL_SUB_DEBT_EBITDA_CAPEX">"c2555"</definedName>
    <definedName name="IQ_TOTAL_SUB_DEBT_PCT">"c2529"</definedName>
    <definedName name="IQ_TOTAL_SUBS">"c2119"</definedName>
    <definedName name="IQ_TOTAL_UNUSUAL">"c1508"</definedName>
    <definedName name="IQ_TOTAL_UNUSUAL_BNK">"c5516"</definedName>
    <definedName name="IQ_TOTAL_UNUSUAL_BR">"c5517"</definedName>
    <definedName name="IQ_TOTAL_UNUSUAL_FIN">"c5518"</definedName>
    <definedName name="IQ_TOTAL_UNUSUAL_INS">"c5519"</definedName>
    <definedName name="IQ_TOTAL_UNUSUAL_REIT">"c5520"</definedName>
    <definedName name="IQ_TOTAL_UNUSUAL_UTI">"c5521"</definedName>
    <definedName name="IQ_TOTAL_WARRANTS_BEG_OS">"c2719"</definedName>
    <definedName name="IQ_TOTAL_WARRANTS_CANCELLED">"c2722"</definedName>
    <definedName name="IQ_TOTAL_WARRANTS_END_OS">"c2723"</definedName>
    <definedName name="IQ_TOTAL_WARRANTS_EXERCISED">"c2721"</definedName>
    <definedName name="IQ_TOTAL_WARRANTS_ISSUED">"c2720"</definedName>
    <definedName name="IQ_TR_ACCT_METHOD">"c2363"</definedName>
    <definedName name="IQ_TR_ACQ_52_WK_HI_PCT">"c2348"</definedName>
    <definedName name="IQ_TR_ACQ_52_WK_LOW_PCT">"c2347"</definedName>
    <definedName name="IQ_TR_ACQ_CASH_ST_INVEST">"c2372"</definedName>
    <definedName name="IQ_TR_ACQ_CLOSEPRICE_1D">"c3027"</definedName>
    <definedName name="IQ_TR_ACQ_DILUT_EPS_EXCL">"c3028"</definedName>
    <definedName name="IQ_TR_ACQ_EARNING_CO">"c2379"</definedName>
    <definedName name="IQ_TR_ACQ_EBIT">"c2380"</definedName>
    <definedName name="IQ_TR_ACQ_EBIT_EQ_INC">"c3611"</definedName>
    <definedName name="IQ_TR_ACQ_EBITDA">"c2381"</definedName>
    <definedName name="IQ_TR_ACQ_EBITDA_EQ_INC">"c3610"</definedName>
    <definedName name="IQ_TR_ACQ_FILING_CURRENCY">"c3033"</definedName>
    <definedName name="IQ_TR_ACQ_FILINGDATE">"c3607"</definedName>
    <definedName name="IQ_TR_ACQ_MCAP_1DAY">"c2345"</definedName>
    <definedName name="IQ_TR_ACQ_MIN_INT">"c2374"</definedName>
    <definedName name="IQ_TR_ACQ_NET_DEBT">"c2373"</definedName>
    <definedName name="IQ_TR_ACQ_NI">"c2378"</definedName>
    <definedName name="IQ_TR_ACQ_PERIODDATE">"c3606"</definedName>
    <definedName name="IQ_TR_ACQ_PRICEDATE_1D">"c2346"</definedName>
    <definedName name="IQ_TR_ACQ_RETURN">"c2349"</definedName>
    <definedName name="IQ_TR_ACQ_STOCKYEARHIGH_1D">"c2343"</definedName>
    <definedName name="IQ_TR_ACQ_STOCKYEARLOW_1D">"c2344"</definedName>
    <definedName name="IQ_TR_ACQ_TOTAL_ASSETS">"c2371"</definedName>
    <definedName name="IQ_TR_ACQ_TOTAL_COMMON_EQ">"c2377"</definedName>
    <definedName name="IQ_TR_ACQ_TOTAL_DEBT">"c2376"</definedName>
    <definedName name="IQ_TR_ACQ_TOTAL_PREF">"c2375"</definedName>
    <definedName name="IQ_TR_ACQ_TOTAL_REV">"c2382"</definedName>
    <definedName name="IQ_TR_ADJ_SIZE">"c3024"</definedName>
    <definedName name="IQ_TR_ANN_DATE">"c2395"</definedName>
    <definedName name="IQ_TR_ANN_DATE_BL">"c2394"</definedName>
    <definedName name="IQ_TR_BID_DATE">"c2357"</definedName>
    <definedName name="IQ_TR_BLUESKY_FEES">"c2277"</definedName>
    <definedName name="IQ_TR_BUY_ACC_ADVISORS">"c3048"</definedName>
    <definedName name="IQ_TR_BUY_FIN_ADVISORS">"c3045"</definedName>
    <definedName name="IQ_TR_BUY_LEG_ADVISORS">"c2387"</definedName>
    <definedName name="IQ_TR_BUYER_ID">"c2404"</definedName>
    <definedName name="IQ_TR_BUYERNAME">"c2401"</definedName>
    <definedName name="IQ_TR_CANCELLED_DATE">"c2284"</definedName>
    <definedName name="IQ_TR_CASH_CONSID_PCT">"c2296"</definedName>
    <definedName name="IQ_TR_CASH_ST_INVEST">"c3025"</definedName>
    <definedName name="IQ_TR_CHANGE_CONTROL">"c2365"</definedName>
    <definedName name="IQ_TR_CLOSED_DATE">"c2283"</definedName>
    <definedName name="IQ_TR_CO_NET_PROCEEDS">"c2268"</definedName>
    <definedName name="IQ_TR_CO_NET_PROCEEDS_PCT">"c2270"</definedName>
    <definedName name="IQ_TR_COMMENTS">"c2383"</definedName>
    <definedName name="IQ_TR_CURRENCY">"c3016"</definedName>
    <definedName name="IQ_TR_DEAL_ATTITUDE">"c2364"</definedName>
    <definedName name="IQ_TR_DEAL_CONDITIONS">"c2367"</definedName>
    <definedName name="IQ_TR_DEAL_RESOLUTION">"c2391"</definedName>
    <definedName name="IQ_TR_DEAL_RESPONSES">"c2366"</definedName>
    <definedName name="IQ_TR_DEBT_CONSID_PCT">"c2299"</definedName>
    <definedName name="IQ_TR_DEF_AGRMT_DATE">"c2285"</definedName>
    <definedName name="IQ_TR_DISCLOSED_FEES_EXP">"c2288"</definedName>
    <definedName name="IQ_TR_EARNOUTS">"c3023"</definedName>
    <definedName name="IQ_TR_EXPIRED_DATE">"c2412"</definedName>
    <definedName name="IQ_TR_GROSS_OFFERING_AMT">"c2262"</definedName>
    <definedName name="IQ_TR_HYBRID_CONSID_PCT">"c2300"</definedName>
    <definedName name="IQ_TR_IMPLIED_EQ">"c3018"</definedName>
    <definedName name="IQ_TR_IMPLIED_EQ_BV">"c3019"</definedName>
    <definedName name="IQ_TR_IMPLIED_EQ_NI_LTM">"c3020"</definedName>
    <definedName name="IQ_TR_IMPLIED_EV">"c2301"</definedName>
    <definedName name="IQ_TR_IMPLIED_EV_BV">"c2306"</definedName>
    <definedName name="IQ_TR_IMPLIED_EV_EBIT">"c2302"</definedName>
    <definedName name="IQ_TR_IMPLIED_EV_EBITDA">"c2303"</definedName>
    <definedName name="IQ_TR_IMPLIED_EV_NI_LTM">"c2307"</definedName>
    <definedName name="IQ_TR_IMPLIED_EV_REV">"c2304"</definedName>
    <definedName name="IQ_TR_INIT_FILED_DATE">"c3495"</definedName>
    <definedName name="IQ_TR_LOI_DATE">"c2282"</definedName>
    <definedName name="IQ_TR_MAJ_MIN_STAKE">"c2389"</definedName>
    <definedName name="IQ_TR_NEGOTIATED_BUYBACK_PRICE">"c2414"</definedName>
    <definedName name="IQ_TR_NET_ASSUM_LIABILITIES">"c2308"</definedName>
    <definedName name="IQ_TR_NET_PROCEEDS">"c2267"</definedName>
    <definedName name="IQ_TR_OFFER_DATE">"c2265"</definedName>
    <definedName name="IQ_TR_OFFER_DATE_MA">"c3035"</definedName>
    <definedName name="IQ_TR_OFFER_PER_SHARE">"c3017"</definedName>
    <definedName name="IQ_TR_OPTIONS_CONSID_PCT">"c2311"</definedName>
    <definedName name="IQ_TR_OTHER_CONSID">"c3022"</definedName>
    <definedName name="IQ_TR_PCT_SOUGHT">"c2309"</definedName>
    <definedName name="IQ_TR_PFEATURES">"c2384"</definedName>
    <definedName name="IQ_TR_PIPE_CONV_PRICE_SHARE">"c2292"</definedName>
    <definedName name="IQ_TR_PIPE_CPN_PCT">"c2291"</definedName>
    <definedName name="IQ_TR_PIPE_NUMBER_SHARES">"c2293"</definedName>
    <definedName name="IQ_TR_PIPE_PPS">"c2290"</definedName>
    <definedName name="IQ_TR_POSTMONEY_VAL">"c2286"</definedName>
    <definedName name="IQ_TR_PREDEAL_SITUATION">"c2390"</definedName>
    <definedName name="IQ_TR_PREF_CONSID_PCT">"c2310"</definedName>
    <definedName name="IQ_TR_PREMONEY_VAL">"c2287"</definedName>
    <definedName name="IQ_TR_PRINTING_FEES">"c2276"</definedName>
    <definedName name="IQ_TR_PT_MONETARY_VALUES">"c2415"</definedName>
    <definedName name="IQ_TR_PT_NUMBER_SHARES">"c2417"</definedName>
    <definedName name="IQ_TR_PT_PCT_SHARES">"c2416"</definedName>
    <definedName name="IQ_TR_RATING_FEES">"c2275"</definedName>
    <definedName name="IQ_TR_REG_EFFECT_DATE">"c2264"</definedName>
    <definedName name="IQ_TR_REG_FILED_DATE">"c2263"</definedName>
    <definedName name="IQ_TR_RENEWAL_BUYBACK">"c2413"</definedName>
    <definedName name="IQ_TR_ROUND_NUMBER">"c2295"</definedName>
    <definedName name="IQ_TR_SEC_FEES">"c2274"</definedName>
    <definedName name="IQ_TR_SECURITY_TYPE_REG">"c2279"</definedName>
    <definedName name="IQ_TR_SELL_ACC_ADVISORS">"c3049"</definedName>
    <definedName name="IQ_TR_SELL_FIN_ADVISORS">"c3046"</definedName>
    <definedName name="IQ_TR_SELL_LEG_ADVISORS">"c2388"</definedName>
    <definedName name="IQ_TR_SELLER_ID">"c2406"</definedName>
    <definedName name="IQ_TR_SELLERNAME">"c2402"</definedName>
    <definedName name="IQ_TR_SFEATURES">"c2385"</definedName>
    <definedName name="IQ_TR_SH_NET_PROCEEDS">"c2269"</definedName>
    <definedName name="IQ_TR_SH_NET_PROCEEDS_PCT">"c2271"</definedName>
    <definedName name="IQ_TR_SPECIAL_COMMITTEE">"c2362"</definedName>
    <definedName name="IQ_TR_STATUS">"c2399"</definedName>
    <definedName name="IQ_TR_STOCK_CONSID_PCT">"c2312"</definedName>
    <definedName name="IQ_TR_SUSPENDED_DATE">"c2407"</definedName>
    <definedName name="IQ_TR_TARGET_52WKHI_PCT">"c2351"</definedName>
    <definedName name="IQ_TR_TARGET_52WKLOW_PCT">"c2350"</definedName>
    <definedName name="IQ_TR_TARGET_ACC_ADVISORS">"c3047"</definedName>
    <definedName name="IQ_TR_TARGET_CASH_ST_INVEST">"c2327"</definedName>
    <definedName name="IQ_TR_TARGET_CLOSEPRICE_1D">"c2352"</definedName>
    <definedName name="IQ_TR_TARGET_CLOSEPRICE_1M">"c2354"</definedName>
    <definedName name="IQ_TR_TARGET_CLOSEPRICE_1W">"c2353"</definedName>
    <definedName name="IQ_TR_TARGET_DILUT_EPS_EXCL">"c2324"</definedName>
    <definedName name="IQ_TR_TARGET_EARNING_CO">"c2332"</definedName>
    <definedName name="IQ_TR_TARGET_EBIT">"c2333"</definedName>
    <definedName name="IQ_TR_TARGET_EBIT_EQ_INC">"c3609"</definedName>
    <definedName name="IQ_TR_TARGET_EBITDA">"c2334"</definedName>
    <definedName name="IQ_TR_TARGET_EBITDA_EQ_INC">"c3608"</definedName>
    <definedName name="IQ_TR_TARGET_FILING_CURRENCY">"c3034"</definedName>
    <definedName name="IQ_TR_TARGET_FILINGDATE">"c3605"</definedName>
    <definedName name="IQ_TR_TARGET_FIN_ADVISORS">"c3044"</definedName>
    <definedName name="IQ_TR_TARGET_ID">"c2405"</definedName>
    <definedName name="IQ_TR_TARGET_LEG_ADVISORS">"c2386"</definedName>
    <definedName name="IQ_TR_TARGET_MARKETCAP">"c2342"</definedName>
    <definedName name="IQ_TR_TARGET_MIN_INT">"c2328"</definedName>
    <definedName name="IQ_TR_TARGET_NET_DEBT">"c2326"</definedName>
    <definedName name="IQ_TR_TARGET_NI">"c2331"</definedName>
    <definedName name="IQ_TR_TARGET_PERIODDATE">"c3604"</definedName>
    <definedName name="IQ_TR_TARGET_PRICEDATE_1D">"c2341"</definedName>
    <definedName name="IQ_TR_TARGET_RETURN">"c2355"</definedName>
    <definedName name="IQ_TR_TARGET_SEC_DETAIL">"c3021"</definedName>
    <definedName name="IQ_TR_TARGET_SEC_TI_ID">"c2368"</definedName>
    <definedName name="IQ_TR_TARGET_SEC_TYPE">"c2369"</definedName>
    <definedName name="IQ_TR_TARGET_SPD">"c2313"</definedName>
    <definedName name="IQ_TR_TARGET_SPD_PCT">"c2314"</definedName>
    <definedName name="IQ_TR_TARGET_STOCKPREMIUM_1D">"c2336"</definedName>
    <definedName name="IQ_TR_TARGET_STOCKPREMIUM_1M">"c2337"</definedName>
    <definedName name="IQ_TR_TARGET_STOCKPREMIUM_1W">"c2338"</definedName>
    <definedName name="IQ_TR_TARGET_STOCKYEARHIGH_1D">"c2339"</definedName>
    <definedName name="IQ_TR_TARGET_STOCKYEARLOW_1D">"c2340"</definedName>
    <definedName name="IQ_TR_TARGET_TOTAL_ASSETS">"c2325"</definedName>
    <definedName name="IQ_TR_TARGET_TOTAL_COMMON_EQ">"c2421"</definedName>
    <definedName name="IQ_TR_TARGET_TOTAL_DEBT">"c2330"</definedName>
    <definedName name="IQ_TR_TARGET_TOTAL_PREF">"c2329"</definedName>
    <definedName name="IQ_TR_TARGET_TOTAL_REV">"c2335"</definedName>
    <definedName name="IQ_TR_TARGETNAME">"c2403"</definedName>
    <definedName name="IQ_TR_TERM_FEE">"c2298"</definedName>
    <definedName name="IQ_TR_TERM_FEE_PCT">"c2297"</definedName>
    <definedName name="IQ_TR_TODATE">"c3036"</definedName>
    <definedName name="IQ_TR_TODATE_MONETARY_VALUE">"c2418"</definedName>
    <definedName name="IQ_TR_TODATE_NUMBER_SHARES">"c2420"</definedName>
    <definedName name="IQ_TR_TODATE_PCT_SHARES">"c2419"</definedName>
    <definedName name="IQ_TR_TOTAL_ACCT_FEES">"c2273"</definedName>
    <definedName name="IQ_TR_TOTAL_CASH">"c2315"</definedName>
    <definedName name="IQ_TR_TOTAL_CONSID_SH">"c2316"</definedName>
    <definedName name="IQ_TR_TOTAL_DEBT">"c2317"</definedName>
    <definedName name="IQ_TR_TOTAL_GROSS_TV">"c2318"</definedName>
    <definedName name="IQ_TR_TOTAL_HYBRID">"c2319"</definedName>
    <definedName name="IQ_TR_TOTAL_LEGAL_FEES">"c2272"</definedName>
    <definedName name="IQ_TR_TOTAL_NET_TV">"c2320"</definedName>
    <definedName name="IQ_TR_TOTAL_NEWMONEY">"c2289"</definedName>
    <definedName name="IQ_TR_TOTAL_OPTIONS">"c2322"</definedName>
    <definedName name="IQ_TR_TOTAL_OPTIONS_BUYER">"c3026"</definedName>
    <definedName name="IQ_TR_TOTAL_PREFERRED">"c2321"</definedName>
    <definedName name="IQ_TR_TOTAL_REG_AMT">"c2261"</definedName>
    <definedName name="IQ_TR_TOTAL_STOCK">"c2323"</definedName>
    <definedName name="IQ_TR_TOTAL_TAKEDOWNS">"c2278"</definedName>
    <definedName name="IQ_TR_TOTAL_UW_COMP">"c2280"</definedName>
    <definedName name="IQ_TR_TOTALVALUE">"c2400"</definedName>
    <definedName name="IQ_TR_TRANSACTION_TYPE">"c2398"</definedName>
    <definedName name="IQ_TR_WITHDRAWN_DTE">"c2266"</definedName>
    <definedName name="IQ_TRADE_AR">"c1345"</definedName>
    <definedName name="IQ_TRADE_PRINCIPAL">"c1309"</definedName>
    <definedName name="IQ_TRADING_ASSETS">"c1310"</definedName>
    <definedName name="IQ_TRADING_CURRENCY">"c2212"</definedName>
    <definedName name="IQ_TREASURY">"c1311"</definedName>
    <definedName name="IQ_TREASURY_OTHER_EQUITY">"c1312"</definedName>
    <definedName name="IQ_TREASURY_OTHER_EQUITY_BNK">"c1313"</definedName>
    <definedName name="IQ_TREASURY_OTHER_EQUITY_BR">"c1314"</definedName>
    <definedName name="IQ_TREASURY_OTHER_EQUITY_FIN">"c1315"</definedName>
    <definedName name="IQ_TREASURY_OTHER_EQUITY_INS">"c1316"</definedName>
    <definedName name="IQ_TREASURY_OTHER_EQUITY_REIT">"c1317"</definedName>
    <definedName name="IQ_TREASURY_OTHER_EQUITY_UTI">"c1318"</definedName>
    <definedName name="IQ_TREASURY_STOCK">"c1438"</definedName>
    <definedName name="IQ_TRUST_INC">"c1319"</definedName>
    <definedName name="IQ_TRUST_PREF">"c1320"</definedName>
    <definedName name="IQ_TRUST_PREFERRED">"c3029"</definedName>
    <definedName name="IQ_TRUST_PREFERRED_PCT">"c3030"</definedName>
    <definedName name="IQ_UFCF_10YR_ANN_GROWTH">"c1948"</definedName>
    <definedName name="IQ_UFCF_1YR_ANN_GROWTH">"c1943"</definedName>
    <definedName name="IQ_UFCF_2YR_ANN_GROWTH">"c1944"</definedName>
    <definedName name="IQ_UFCF_3YR_ANN_GROWTH">"c1945"</definedName>
    <definedName name="IQ_UFCF_5YR_ANN_GROWTH">"c1946"</definedName>
    <definedName name="IQ_UFCF_7YR_ANN_GROWTH">"c1947"</definedName>
    <definedName name="IQ_UFCF_MARGIN">"c1962"</definedName>
    <definedName name="IQ_ULT_PARENT">"c3037"</definedName>
    <definedName name="IQ_ULT_PARENT_CIQID">"c3039"</definedName>
    <definedName name="IQ_ULT_PARENT_TICKER">"c3038"</definedName>
    <definedName name="IQ_UNAMORT_DISC">"c2513"</definedName>
    <definedName name="IQ_UNAMORT_DISC_PCT">"c2514"</definedName>
    <definedName name="IQ_UNAMORT_PREMIUM">"c2511"</definedName>
    <definedName name="IQ_UNAMORT_PREMIUM_PCT">"c2512"</definedName>
    <definedName name="IQ_UNDRAWN_CP">"c2518"</definedName>
    <definedName name="IQ_UNDRAWN_CREDIT">"c3032"</definedName>
    <definedName name="IQ_UNDRAWN_RC">"c2517"</definedName>
    <definedName name="IQ_UNDRAWN_TL">"c2519"</definedName>
    <definedName name="IQ_UNEARN_PREMIUM">"c1321"</definedName>
    <definedName name="IQ_UNEARN_REV_CURRENT">"c1322"</definedName>
    <definedName name="IQ_UNEARN_REV_CURRENT_BNK">"c1323"</definedName>
    <definedName name="IQ_UNEARN_REV_CURRENT_BR">"c1324"</definedName>
    <definedName name="IQ_UNEARN_REV_CURRENT_FIN">"c1325"</definedName>
    <definedName name="IQ_UNEARN_REV_CURRENT_INS">"c1326"</definedName>
    <definedName name="IQ_UNEARN_REV_CURRENT_REIT">"c1327"</definedName>
    <definedName name="IQ_UNEARN_REV_CURRENT_UTI">"c1328"</definedName>
    <definedName name="IQ_UNEARN_REV_LT">"c1329"</definedName>
    <definedName name="IQ_UNLEVERED_FCF">"c1908"</definedName>
    <definedName name="IQ_UNPAID_CLAIMS">"c1330"</definedName>
    <definedName name="IQ_UNREALIZED_GAIN">"c1619"</definedName>
    <definedName name="IQ_UNSECURED_DEBT">"c2548"</definedName>
    <definedName name="IQ_UNSECURED_DEBT_PCT">"c2549"</definedName>
    <definedName name="IQ_UNUSUAL_EXP">"c1456"</definedName>
    <definedName name="IQ_US_GAAP">"c1331"</definedName>
    <definedName name="IQ_US_GAAP_BASIC_EPS_EXCL">"c2984"</definedName>
    <definedName name="IQ_US_GAAP_BASIC_EPS_INCL">"c2982"</definedName>
    <definedName name="IQ_US_GAAP_BASIC_WEIGHT">"c2980"</definedName>
    <definedName name="IQ_US_GAAP_CA_ADJ">"c2925"</definedName>
    <definedName name="IQ_US_GAAP_CASH_FINAN">"c2945"</definedName>
    <definedName name="IQ_US_GAAP_CASH_FINAN_ADJ">"c2941"</definedName>
    <definedName name="IQ_US_GAAP_CASH_INVEST">"c2944"</definedName>
    <definedName name="IQ_US_GAAP_CASH_INVEST_ADJ">"c2940"</definedName>
    <definedName name="IQ_US_GAAP_CASH_OPER">"c2943"</definedName>
    <definedName name="IQ_US_GAAP_CASH_OPER_ADJ">"c2939"</definedName>
    <definedName name="IQ_US_GAAP_CL_ADJ">"c2927"</definedName>
    <definedName name="IQ_US_GAAP_COST_REV_ADJ">"c2951"</definedName>
    <definedName name="IQ_US_GAAP_DILUT_EPS_EXCL">"c2985"</definedName>
    <definedName name="IQ_US_GAAP_DILUT_EPS_INCL">"c2983"</definedName>
    <definedName name="IQ_US_GAAP_DILUT_NI">"c2979"</definedName>
    <definedName name="IQ_US_GAAP_DILUT_WEIGHT">"c2981"</definedName>
    <definedName name="IQ_US_GAAP_DO_ADJ">"c2959"</definedName>
    <definedName name="IQ_US_GAAP_EXTRA_ACC_ITEMS_ADJ">"c2958"</definedName>
    <definedName name="IQ_US_GAAP_INC_TAX_ADJ">"c2961"</definedName>
    <definedName name="IQ_US_GAAP_INTEREST_EXP_ADJ">"c2957"</definedName>
    <definedName name="IQ_US_GAAP_LIAB_LT_ADJ">"c2928"</definedName>
    <definedName name="IQ_US_GAAP_LIAB_TOTAL_LIAB">"c2933"</definedName>
    <definedName name="IQ_US_GAAP_MINORITY_INTEREST_IS_ADJ">"c2960"</definedName>
    <definedName name="IQ_US_GAAP_NCA_ADJ">"c2926"</definedName>
    <definedName name="IQ_US_GAAP_NET_CHANGE">"c2946"</definedName>
    <definedName name="IQ_US_GAAP_NET_CHANGE_ADJ">"c2942"</definedName>
    <definedName name="IQ_US_GAAP_NI">"c2976"</definedName>
    <definedName name="IQ_US_GAAP_NI_ADJ">"c2963"</definedName>
    <definedName name="IQ_US_GAAP_NI_AVAIL_INCL">"c2978"</definedName>
    <definedName name="IQ_US_GAAP_OTHER_ADJ_ADJ">"c2962"</definedName>
    <definedName name="IQ_US_GAAP_OTHER_NON_OPER_ADJ">"c2955"</definedName>
    <definedName name="IQ_US_GAAP_OTHER_OPER_ADJ">"c2954"</definedName>
    <definedName name="IQ_US_GAAP_RD_ADJ">"c2953"</definedName>
    <definedName name="IQ_US_GAAP_SGA_ADJ">"c2952"</definedName>
    <definedName name="IQ_US_GAAP_TOTAL_ASSETS">"c2931"</definedName>
    <definedName name="IQ_US_GAAP_TOTAL_EQUITY">"c2934"</definedName>
    <definedName name="IQ_US_GAAP_TOTAL_EQUITY_ADJ">"c2929"</definedName>
    <definedName name="IQ_US_GAAP_TOTAL_REV_ADJ">"c2950"</definedName>
    <definedName name="IQ_US_GAAP_TOTAL_UNUSUAL_ADJ">"c2956"</definedName>
    <definedName name="IQ_UTIL_PPE_NET">"c1620"</definedName>
    <definedName name="IQ_UTIL_REV">"c2091"</definedName>
    <definedName name="IQ_UV_PENSION_LIAB">"c1332"</definedName>
    <definedName name="IQ_VALUE_TRADED_LAST_3MTH">"c1530"</definedName>
    <definedName name="IQ_VALUE_TRADED_LAST_6MTH">"c1531"</definedName>
    <definedName name="IQ_VALUE_TRADED_LAST_MTH">"c1529"</definedName>
    <definedName name="IQ_VALUE_TRADED_LAST_WK">"c1528"</definedName>
    <definedName name="IQ_VALUE_TRADED_LAST_YR">"c1532"</definedName>
    <definedName name="IQ_VOL_LAST_3MTH">"c1525"</definedName>
    <definedName name="IQ_VOL_LAST_6MTH">"c1526"</definedName>
    <definedName name="IQ_VOL_LAST_MTH">"c1524"</definedName>
    <definedName name="IQ_VOL_LAST_WK">"c1523"</definedName>
    <definedName name="IQ_VOL_LAST_YR">"c1527"</definedName>
    <definedName name="IQ_VOLUME">"c1333"</definedName>
    <definedName name="IQ_WARRANTS_BEG_OS">"c2698"</definedName>
    <definedName name="IQ_WARRANTS_CANCELLED">"c2701"</definedName>
    <definedName name="IQ_WARRANTS_END_OS">"c2702"</definedName>
    <definedName name="IQ_WARRANTS_EXERCISED">"c2700"</definedName>
    <definedName name="IQ_WARRANTS_ISSUED">"c2699"</definedName>
    <definedName name="IQ_WARRANTS_STRIKE_PRICE_ISSUED">"c2704"</definedName>
    <definedName name="IQ_WARRANTS_STRIKE_PRICE_OS">"c2703"</definedName>
    <definedName name="IQ_WEEK">50000</definedName>
    <definedName name="IQ_WEIGHTED_AVG_PRICE">"c1334"</definedName>
    <definedName name="IQ_WIP_INV">"c1335"</definedName>
    <definedName name="IQ_WORKING_CAP">"c3494"</definedName>
    <definedName name="IQ_WORKMEN_WRITTEN">"c1336"</definedName>
    <definedName name="IQ_XDIV_DATE">"c2203"</definedName>
    <definedName name="IQ_YEARHIGH">"c1337"</definedName>
    <definedName name="IQ_YEARHIGH_DATE">"c2250"</definedName>
    <definedName name="IQ_YEARLOW">"c1338"</definedName>
    <definedName name="IQ_YEARLOW_DATE">"c2251"</definedName>
    <definedName name="IQ_YTD">3000</definedName>
    <definedName name="IQ_YTDMONTH">130000</definedName>
    <definedName name="IQ_YTW">"c2163"</definedName>
    <definedName name="IQ_YTW_DATE">"c2164"</definedName>
    <definedName name="IQ_YTW_DATE_TYPE">"c2165"</definedName>
    <definedName name="IQ_Z_SCORE">"c1339"</definedName>
    <definedName name="IR">#REF!</definedName>
    <definedName name="IRR">#REF!</definedName>
    <definedName name="IsColHidden">FALSE</definedName>
    <definedName name="IsLTMColHidden">FALSE</definedName>
    <definedName name="isquarters">#REF!</definedName>
    <definedName name="isyears">#REF!</definedName>
    <definedName name="j">#REF!</definedName>
    <definedName name="jackass">{"Summary",#N/A,FALSE,"Returns";"venture Cash flows",#N/A,FALSE,"Returns";"IRR Calcs",#N/A,FALSE,"Returns";"Promote Calcs",#N/A,FALSE,"Returns";"cash flor Streams",#N/A,FALSE,"Returns";"Prop. Cash Flow",#N/A,FALSE,"Returns";"Prop. Cash Flow PSF",#N/A,FALSE,"Returns";"Prop. Cash Flow %",#N/A,FALSE,"Returns";"Stub Period",#N/A,FALSE,"Returns"}</definedName>
    <definedName name="JAN00">#REF!</definedName>
    <definedName name="jansept03">#REF!</definedName>
    <definedName name="JaS">{"Assumptions",#N/A,TRUE,"Returns";"Tables",#N/A,TRUE,"Returns"}</definedName>
    <definedName name="jason">#REF!</definedName>
    <definedName name="jason1">#REF!</definedName>
    <definedName name="jason2">#REF!</definedName>
    <definedName name="Jason3">#REF!</definedName>
    <definedName name="Jason4">#REF!</definedName>
    <definedName name="Jason5">#REF!</definedName>
    <definedName name="Jason6">#REF!</definedName>
    <definedName name="JDE">#REF!</definedName>
    <definedName name="JobCodeSelection">'00_JobSetup'!$C$11</definedName>
    <definedName name="Js">{"Summary",#N/A,FALSE,"Returns";"venture Cash flows",#N/A,FALSE,"Returns";"IRR Calcs",#N/A,FALSE,"Returns";"Promote Calcs",#N/A,FALSE,"Returns";"cash flor Streams",#N/A,FALSE,"Returns";"Prop. Cash Flow",#N/A,FALSE,"Returns";"Prop. Cash Flow PSF",#N/A,FALSE,"Returns";"Prop. Cash Flow %",#N/A,FALSE,"Returns";"Stub Period",#N/A,FALSE,"Returns"}</definedName>
    <definedName name="JUL00">#REF!</definedName>
    <definedName name="julie">{#N/A,#N/A,FALSE,"RENT ROLL"}</definedName>
    <definedName name="JUN00">#REF!</definedName>
    <definedName name="JVAMORTTABLE">IF(#REF!&lt;&gt;"",DATE(YEAR(#REF!),MONTH(#REF!)+(#REF!-1)*12/#REF!,DAY(#REF!)),"")</definedName>
    <definedName name="K2_WBEVMODE">-1</definedName>
    <definedName name="ke">#REF!</definedName>
    <definedName name="KELLEY">#REF!</definedName>
    <definedName name="Kirk">#REF!</definedName>
    <definedName name="kit61a">#REF!</definedName>
    <definedName name="kjjjjkjhk">{"sheet a",#N/A,FALSE,"A";"sheet b 1",#N/A,FALSE,"B";"sheet b 2",#N/A,FALSE,"B"}</definedName>
    <definedName name="kkk">{#N/A,#N/A,FALSE,"B_Spread"}</definedName>
    <definedName name="kkkk">#REF!</definedName>
    <definedName name="kyd.ChngCell.01.">#REF!</definedName>
    <definedName name="kyd.CounterLimitCell.01.">"x"</definedName>
    <definedName name="kyd.Dim.01.">"toad:Company"</definedName>
    <definedName name="kyd.ElementList.01.">#REF!</definedName>
    <definedName name="kyd.ElementType.01.">3</definedName>
    <definedName name="kyd.FileSaveDir.">""</definedName>
    <definedName name="kyd.ItemType.01.">2</definedName>
    <definedName name="kyd.KillLinks.">-4146</definedName>
    <definedName name="kyd.MacroAtEnd.">""</definedName>
    <definedName name="kyd.MacroEachCycle.">""</definedName>
    <definedName name="kyd.MacroEndOfEachCycle.">""</definedName>
    <definedName name="kyd.MemoSortHide.">FALSE</definedName>
    <definedName name="kyd.NumLevels.01.">999</definedName>
    <definedName name="kyd.PanicStop.">FALSE</definedName>
    <definedName name="kyd.ParentName.01.">""</definedName>
    <definedName name="kyd.Password.">""</definedName>
    <definedName name="kyd.PreScreenData.">FALSE</definedName>
    <definedName name="kyd.PrintActionOptn.">1</definedName>
    <definedName name="kyd.PrintMemo.">FALSE</definedName>
    <definedName name="kyd.PrintParent.01.">TRUE</definedName>
    <definedName name="kyd.PrintStdWhen.">1</definedName>
    <definedName name="kyd.ProtWbkStruct.">-4146</definedName>
    <definedName name="kyd.ProtWbkWin.">-4146</definedName>
    <definedName name="kyd.ReplaceFile.">-4146</definedName>
    <definedName name="kyd.SaveAsFile.">FALSE</definedName>
    <definedName name="kyd.SaveCopy.">3</definedName>
    <definedName name="kyd.SaveMemo.">FALSE</definedName>
    <definedName name="kyd.SelectString.01.">"*"</definedName>
    <definedName name="kyd.StdSortHide.">FALSE</definedName>
    <definedName name="kyd.StopRow.">65536</definedName>
    <definedName name="kyd.WriteMemWhenOptn.">3</definedName>
    <definedName name="l" localSheetId="11">{"Construction Costs",#N/A,FALSE,"Budget";"Income Statement",#N/A,FALSE,"Budget"}</definedName>
    <definedName name="l">{"Construction Costs",#N/A,FALSE,"Budget";"Income Statement",#N/A,FALSE,"Budget"}</definedName>
    <definedName name="l_t1">#REF!</definedName>
    <definedName name="L1A">#REF!</definedName>
    <definedName name="L1R">#REF!</definedName>
    <definedName name="La_Stone_Therapy">#REF!</definedName>
    <definedName name="LAND">#REF!</definedName>
    <definedName name="Land_Price">#REF!</definedName>
    <definedName name="Land_Residual">#REF!</definedName>
    <definedName name="LandContributionDate">#REF!</definedName>
    <definedName name="LandCost">#REF!</definedName>
    <definedName name="LandCostFARSF">#REF!</definedName>
    <definedName name="Landscape">#REF!</definedName>
    <definedName name="LandSizeSF">#REF!</definedName>
    <definedName name="LandValueAdjustment">#REF!</definedName>
    <definedName name="lank">#REF!</definedName>
    <definedName name="LAR">#REF!</definedName>
    <definedName name="Last_Row">IF(#REF!,Header_Row+#REF!,Header_Row)</definedName>
    <definedName name="Last_Sale_Date">#REF!</definedName>
    <definedName name="LastActiveSheet">#REF!</definedName>
    <definedName name="LastActualsDated">#REF!</definedName>
    <definedName name="LastActualsIterate">#REF!</definedName>
    <definedName name="LastActualsLoaded">#REF!</definedName>
    <definedName name="LastBudgetInfoRow">#REF!</definedName>
    <definedName name="LastMonth">#REF!</definedName>
    <definedName name="LastMoveIns">#REF!</definedName>
    <definedName name="LastRow">#REF!</definedName>
    <definedName name="lb_rs_1">#REF!</definedName>
    <definedName name="lb_rs_mb_2">#REF!</definedName>
    <definedName name="lbh">#REF!</definedName>
    <definedName name="lbhh">#REF!</definedName>
    <definedName name="lbhh1">#REF!</definedName>
    <definedName name="lbm">#REF!</definedName>
    <definedName name="lbmh">#REF!</definedName>
    <definedName name="lbmh1">#REF!</definedName>
    <definedName name="LC">#REF!</definedName>
    <definedName name="LC_DEPR">#REF!</definedName>
    <definedName name="LCI">#REF!</definedName>
    <definedName name="LCR">#REF!</definedName>
    <definedName name="LeaseANAPCheck">#REF!</definedName>
    <definedName name="LeaseANAPIncome">#REF!</definedName>
    <definedName name="LeaseANAPIncomeBudget">#REF!</definedName>
    <definedName name="LeaseANAPShops">#REF!</definedName>
    <definedName name="LeaseANAPTotalSF">#REF!</definedName>
    <definedName name="leased">+OFFSET(#REF!,0,0,COUNTA(#REF!),1)</definedName>
    <definedName name="LeaseMRMCheck">#REF!</definedName>
    <definedName name="LeaseSSMLTTotalSF">#REF!</definedName>
    <definedName name="Leasing_Commissions">#REF!</definedName>
    <definedName name="Leasing_Report">#REF!</definedName>
    <definedName name="LeasingCommission1">#REF!</definedName>
    <definedName name="LeasingCommission2">#REF!</definedName>
    <definedName name="LeasingCommission3">#REF!</definedName>
    <definedName name="LeasingCommissionBelowGrade">#REF!</definedName>
    <definedName name="LeasingCommissionPaidOutxMonthsPrior">#REF!</definedName>
    <definedName name="LeasingCommissionTotalAmount">#REF!</definedName>
    <definedName name="LeasingStarts">#REF!</definedName>
    <definedName name="Ledger">#REF!</definedName>
    <definedName name="Leg1Override">#REF!</definedName>
    <definedName name="Leg2Override">#REF!</definedName>
    <definedName name="Legal_JV">#REF!</definedName>
    <definedName name="legend">#REF!</definedName>
    <definedName name="Les_Authentiques">#REF!</definedName>
    <definedName name="Les_Design">#REF!</definedName>
    <definedName name="Les_Hydro_Nutrit">#REF!</definedName>
    <definedName name="Les_Purifiantes">#REF!</definedName>
    <definedName name="Les_Revitalisantes">#REF!</definedName>
    <definedName name="Les_Sensitives">#REF!</definedName>
    <definedName name="Lev">#REF!+1</definedName>
    <definedName name="LevCOF">#REF!*(#REF!/(#REF!+1))</definedName>
    <definedName name="LIBOR">#REF!</definedName>
    <definedName name="LIBOR_Spread">#REF!</definedName>
    <definedName name="LIBORCap1">#REF!</definedName>
    <definedName name="LiborCap2">#REF!</definedName>
    <definedName name="LiborSwap">#REF!</definedName>
    <definedName name="LiborSwap20">#REF!</definedName>
    <definedName name="limcount">1</definedName>
    <definedName name="lincoln">#REF!</definedName>
    <definedName name="LINCSPLIT">#REF!</definedName>
    <definedName name="linebal1">#REF!</definedName>
    <definedName name="linebal2">#REF!</definedName>
    <definedName name="Lip_Wax">#REF!</definedName>
    <definedName name="List">#REF!</definedName>
    <definedName name="lkdjfalk">{#N/A,#N/A,FALSE,"RENT ROLL"}</definedName>
    <definedName name="ll" localSheetId="11">{"Construction Costs",#N/A,FALSE,"Budget";"Income Statement",#N/A,FALSE,"Budget"}</definedName>
    <definedName name="ll">{"Construction Costs",#N/A,FALSE,"Budget";"Income Statement",#N/A,FALSE,"Budget"}</definedName>
    <definedName name="lll">{"Outflow 1",#N/A,FALSE,"Outflows-Inflows";"Outflow 2",#N/A,FALSE,"Outflows-Inflows";"Inflow 1",#N/A,FALSE,"Outflows-Inflows";"Inflow 2",#N/A,FALSE,"Outflows-Inflows"}</definedName>
    <definedName name="llll">#REF!</definedName>
    <definedName name="lllll">{"sheet a",#N/A,FALSE,"A";"sheet b 1",#N/A,FALSE,"B";"sheet b 2",#N/A,FALSE,"B"}</definedName>
    <definedName name="LN1_LN2_1">#REF!</definedName>
    <definedName name="ln1h">#REF!</definedName>
    <definedName name="ln1h1">#REF!</definedName>
    <definedName name="ln1hh">#REF!</definedName>
    <definedName name="ln1hh1">#REF!</definedName>
    <definedName name="ln1m">#REF!</definedName>
    <definedName name="ln1m1">#REF!</definedName>
    <definedName name="ln1mh">#REF!</definedName>
    <definedName name="ln1mh1">#REF!</definedName>
    <definedName name="ln2h">#REF!</definedName>
    <definedName name="ln2h1">#REF!</definedName>
    <definedName name="ln2hh">#REF!</definedName>
    <definedName name="ln2hh1">#REF!</definedName>
    <definedName name="ln2m">#REF!</definedName>
    <definedName name="ln2m1">#REF!</definedName>
    <definedName name="ln2mh">#REF!</definedName>
    <definedName name="ln2mh1">#REF!</definedName>
    <definedName name="lndscp">#REF!</definedName>
    <definedName name="lndscp1">#REF!</definedName>
    <definedName name="lnge2">#REF!</definedName>
    <definedName name="lnge2a">#REF!</definedName>
    <definedName name="LoadRequired">#REF!</definedName>
    <definedName name="LOAN">#REF!</definedName>
    <definedName name="Loan_amount">#REF!</definedName>
    <definedName name="Loan_Not_Paid">IF(#REF!&lt;=#REF!,1,0)</definedName>
    <definedName name="Loan_Orignation">#REF!</definedName>
    <definedName name="Loan_Rate_Avg">#REF!</definedName>
    <definedName name="Loan_Start">#REF!</definedName>
    <definedName name="Loan_Years">#REF!</definedName>
    <definedName name="Loan1">#REF!</definedName>
    <definedName name="LOAN1002A">#REF!</definedName>
    <definedName name="LOAN1002B">#REF!</definedName>
    <definedName name="LOAN1019">#REF!</definedName>
    <definedName name="Loan1Advances">#REF!</definedName>
    <definedName name="Loan1Repayments">#REF!</definedName>
    <definedName name="Loan1Revolving">#REF!</definedName>
    <definedName name="Loan1Standard">#REF!</definedName>
    <definedName name="Loan1Type">#REF!</definedName>
    <definedName name="Loan2">#REF!</definedName>
    <definedName name="loanamount">#REF!</definedName>
    <definedName name="loanamount2">#REF!</definedName>
    <definedName name="loanamt">#REF!</definedName>
    <definedName name="LoanInterest">#REF!</definedName>
    <definedName name="loaninterest2">#REF!</definedName>
    <definedName name="LoanSummary">#REF!</definedName>
    <definedName name="loanterm">#REF!</definedName>
    <definedName name="loanterm2">#REF!</definedName>
    <definedName name="lobby">#REF!</definedName>
    <definedName name="Lobby_Cafeteria_Recapture">#REF!</definedName>
    <definedName name="lobbya">#REF!</definedName>
    <definedName name="loc">#REF!</definedName>
    <definedName name="Local">#REF!</definedName>
    <definedName name="Location">#REF!</definedName>
    <definedName name="Lomi_Lomi___50_Min.">#REF!</definedName>
    <definedName name="Lomi_Lomi___75_Min.">#REF!</definedName>
    <definedName name="lopez">{#N/A,#N/A,FALSE,"RENT ROLL"}</definedName>
    <definedName name="Lot_Price_Adj">#REF!</definedName>
    <definedName name="Lots">#REF!</definedName>
    <definedName name="Lower_Arm_Wax">#REF!</definedName>
    <definedName name="LowModUnits">#REF!</definedName>
    <definedName name="LPEquity">#REF!</definedName>
    <definedName name="Lse_Term">#REF!</definedName>
    <definedName name="LSG">#REF!</definedName>
    <definedName name="LT_Leases">#REF!</definedName>
    <definedName name="LTC">#REF!</definedName>
    <definedName name="LTF">#REF!</definedName>
    <definedName name="LTLAmount">#REF!</definedName>
    <definedName name="LTV">#REF!</definedName>
    <definedName name="LTV_10Yr">#REF!</definedName>
    <definedName name="LTV_12Yr">#REF!</definedName>
    <definedName name="LTV_2Yr">#REF!</definedName>
    <definedName name="LTV_3Yr">#REF!</definedName>
    <definedName name="LTV_5Yr">#REF!</definedName>
    <definedName name="LTV_7yr">#REF!</definedName>
    <definedName name="LX">#REF!</definedName>
    <definedName name="LYC">#REF!</definedName>
    <definedName name="LYEstRds">#REF!</definedName>
    <definedName name="Lymphatic_Facial">#REF!</definedName>
    <definedName name="Lymphatic_Massage___50_Min.">#REF!</definedName>
    <definedName name="LYN">#REF!</definedName>
    <definedName name="LYOnPropRds">#REF!</definedName>
    <definedName name="M">#REF!</definedName>
    <definedName name="MACLIST">#REF!</definedName>
    <definedName name="macqfee">#REF!</definedName>
    <definedName name="MACRO">#REF!</definedName>
    <definedName name="Macro10">#N/A</definedName>
    <definedName name="Macro11">#N/A</definedName>
    <definedName name="Macro9">#N/A</definedName>
    <definedName name="MACROS">#REF!</definedName>
    <definedName name="Maint">#REF!</definedName>
    <definedName name="Maintenance">#REF!</definedName>
    <definedName name="Make_Up_Application">#REF!</definedName>
    <definedName name="Mapping">#REF!</definedName>
    <definedName name="MAR_PAYROLL">#REF!</definedName>
    <definedName name="MAR_REPORT">#REF!</definedName>
    <definedName name="MAR_REV">#REF!</definedName>
    <definedName name="MAR_STAT">#REF!</definedName>
    <definedName name="MAR00">#REF!</definedName>
    <definedName name="MarbleDesc">#REF!</definedName>
    <definedName name="MarbleSub">#REF!</definedName>
    <definedName name="marinasf">#REF!</definedName>
    <definedName name="mark">{#N/A,#N/A,FALSE,"RENT ROLL"}</definedName>
    <definedName name="market">#REF!</definedName>
    <definedName name="MarketUpdate">#REF!</definedName>
    <definedName name="MARKUP">#REF!</definedName>
    <definedName name="maryann">{#N/A,#N/A,FALSE,"RENT ROLL"}</definedName>
    <definedName name="Masonry">#REF!</definedName>
    <definedName name="MasonryDesc">#REF!</definedName>
    <definedName name="MasonrySub">#REF!</definedName>
    <definedName name="Massport_Lease_Expense">#REF!</definedName>
    <definedName name="matrix" localSheetId="1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matrix">{#N/A,#N/A,FALSE,"1Summary";#N/A,#N/A,FALSE,"2Assumptions";#N/A,#N/A,FALSE,"3Cash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Matrix_1">#REF!</definedName>
    <definedName name="matrix2" localSheetId="1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matrix2">{#N/A,#N/A,FALSE,"1Summary";#N/A,#N/A,FALSE,"2Assumptions";#N/A,#N/A,FALSE,"3Cash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MattD">{"COST.PROFIT",#N/A,TRUE,"Cost.profit";"DDCOHEAD",#N/A,TRUE,"D,D&amp;C overhead"}</definedName>
    <definedName name="Max_Incr">#REF!</definedName>
    <definedName name="MAY00">#REF!</definedName>
    <definedName name="MayCks">#REF!</definedName>
    <definedName name="mbsp">#REF!</definedName>
    <definedName name="mel">#REF!</definedName>
    <definedName name="Mens_Deep_Cleansing_Facial">#REF!</definedName>
    <definedName name="Mens_Hair_Cut">#REF!</definedName>
    <definedName name="Mens_Muscle_Melt">#REF!</definedName>
    <definedName name="Mens_Quick_Cleanse_25_min">#REF!</definedName>
    <definedName name="Mens_Relaxing_Facial">#REF!</definedName>
    <definedName name="MENU">#REF!</definedName>
    <definedName name="MENU1">#REF!</definedName>
    <definedName name="MENU2">#REF!</definedName>
    <definedName name="MENU4">#REF!</definedName>
    <definedName name="MetalSiding">#REF!</definedName>
    <definedName name="Meter__G000022635">#REF!</definedName>
    <definedName name="Meter__G016673327">#REF!</definedName>
    <definedName name="Meter__G055185465">#REF!</definedName>
    <definedName name="mezz">#REF!</definedName>
    <definedName name="Mezz_Am">#REF!</definedName>
    <definedName name="Mezz_IR">#REF!</definedName>
    <definedName name="Mezz_LTV">#REF!</definedName>
    <definedName name="Mezz_Term">#REF!</definedName>
    <definedName name="mezzconst">#REF!</definedName>
    <definedName name="mf">#REF!</definedName>
    <definedName name="MGMT">#REF!</definedName>
    <definedName name="mgmt_fee">#REF!</definedName>
    <definedName name="mgmt_incentive">#REF!</definedName>
    <definedName name="MgmtFee">#REF!</definedName>
    <definedName name="MGMTFEE_">#REF!</definedName>
    <definedName name="MgmtFeeRate">#REF!</definedName>
    <definedName name="mickey">{#N/A,#N/A,FALSE,"RENT ROLL"}</definedName>
    <definedName name="Micro_Dermabrasion">#REF!</definedName>
    <definedName name="Mid_Point">#REF!</definedName>
    <definedName name="Mill_Rate">#REF!</definedName>
    <definedName name="MillageRate">#REF!</definedName>
    <definedName name="MillworkDesc">#REF!</definedName>
    <definedName name="MIN">#REF!</definedName>
    <definedName name="Min_Contract_Price">#REF!</definedName>
    <definedName name="min_opreserve">#REF!</definedName>
    <definedName name="MinFee">#REF!</definedName>
    <definedName name="minibar">#REF!</definedName>
    <definedName name="minibara">#REF!</definedName>
    <definedName name="minitialK">#REF!</definedName>
    <definedName name="Minor_Page_01">#REF!</definedName>
    <definedName name="Minor_Page_02">#REF!</definedName>
    <definedName name="Minor_Page_03">#REF!</definedName>
    <definedName name="Minor_Page_04">#REF!</definedName>
    <definedName name="Minor_Page_05">#REF!</definedName>
    <definedName name="Minor_Page_06">#REF!</definedName>
    <definedName name="Minor_Page_07">#REF!</definedName>
    <definedName name="Minor_Page_08">#REF!</definedName>
    <definedName name="Minor_Page_09">#REF!</definedName>
    <definedName name="Minor_Page_10">#REF!</definedName>
    <definedName name="Minor_Page_11">#REF!</definedName>
    <definedName name="Minor_Page_12">#REF!</definedName>
    <definedName name="Minor_Page_13">#REF!</definedName>
    <definedName name="Minor_Page_14">#REF!</definedName>
    <definedName name="Minor_Page_15">#REF!</definedName>
    <definedName name="Minor_Page_16">#REF!</definedName>
    <definedName name="Minor_Page_17">#REF!</definedName>
    <definedName name="Minor_Page_18">#REF!</definedName>
    <definedName name="Minor_Page_19">#REF!</definedName>
    <definedName name="Minor_Page_20">#REF!</definedName>
    <definedName name="Minor_Page_21">#REF!</definedName>
    <definedName name="Minor_Page_22">#REF!</definedName>
    <definedName name="Minor_Page_23">#REF!</definedName>
    <definedName name="Minor_Page_24">#REF!</definedName>
    <definedName name="Mintz_Levin_Legal_Fees">#REF!</definedName>
    <definedName name="MiscMetal">#REF!</definedName>
    <definedName name="MiscTaxes">#REF!</definedName>
    <definedName name="MissingText">#REF!</definedName>
    <definedName name="mix">{#N/A,#N/A,FALSE,"el.det";#N/A,#N/A,FALSE,"mu.det";#N/A,#N/A,FALSE,"ug.det";#N/A,#N/A,FALSE,"ex.det";#N/A,#N/A,FALSE,"lux.det";#N/A,#N/A,FALSE,"custom.lot";#N/A,#N/A,FALSE,"condo.att";#N/A,#N/A,FALSE,"el.att";#N/A,#N/A,FALSE,"mu.att";#N/A,#N/A,FALSE,"ex.att";#N/A,#N/A,FALSE,"lux.att";#N/A,#N/A,FALSE,"all.by.village"}</definedName>
    <definedName name="MKT">#REF!</definedName>
    <definedName name="Mkt_10_Yr_Balance">#REF!</definedName>
    <definedName name="Mkt_10Yr_Balance">#REF!</definedName>
    <definedName name="Mkt_12Yr_Balance">#REF!</definedName>
    <definedName name="Mkt_2Yr_Balance">#REF!</definedName>
    <definedName name="Mkt_3Yr_Balance">#REF!</definedName>
    <definedName name="Mkt_5yr_Balance">#REF!</definedName>
    <definedName name="Mkt_7Yr_Balance">#REF!</definedName>
    <definedName name="Mkt_Cap_Rate">#REF!</definedName>
    <definedName name="Mkt_Lsd_Rnt_Calcs">#REF!</definedName>
    <definedName name="Mkt_Lsd_Rnt_Data">#REF!</definedName>
    <definedName name="Mkt_Retail_Rent_PSF">#REF!</definedName>
    <definedName name="Mkt_Rnt_Data">#REF!</definedName>
    <definedName name="Mkt_Rnt_Formula">#REF!</definedName>
    <definedName name="Mkt_Rnt_Tbl">#REF!</definedName>
    <definedName name="Mkt_Rnt_Unit_Dtl">#REF!</definedName>
    <definedName name="Mkt_Rnt_Unit1">#REF!</definedName>
    <definedName name="MKTG">#N/A</definedName>
    <definedName name="MKTG1">#N/A</definedName>
    <definedName name="MktInc_FY36">#REF!</definedName>
    <definedName name="ML_Strategies__Consulting">#REF!</definedName>
    <definedName name="mmrcost">#REF!</definedName>
    <definedName name="Mo_Rents">#REF!</definedName>
    <definedName name="mo1st">#REF!</definedName>
    <definedName name="mo2nd">#REF!</definedName>
    <definedName name="modebtserv">#REF!</definedName>
    <definedName name="Model">#REF!</definedName>
    <definedName name="modelbegindate">#REF!</definedName>
    <definedName name="Module1.PRINT_2">#N/A</definedName>
    <definedName name="Module1.PRINT_3">#N/A</definedName>
    <definedName name="Module1.PRINT_A">#N/A</definedName>
    <definedName name="Module1.PRINT_BCCAM">#N/A</definedName>
    <definedName name="Module1.PRINT_BCMR">#N/A</definedName>
    <definedName name="Module1.PRINT_BCTAX">#N/A</definedName>
    <definedName name="Module1.PRINT_D">#N/A</definedName>
    <definedName name="Module1.PRINT_DETAILS">#N/A</definedName>
    <definedName name="Module1.PRINT_EDET">#N/A</definedName>
    <definedName name="Module1.PRINT_ESUM">#N/A</definedName>
    <definedName name="Module1.PRINT_F">#N/A</definedName>
    <definedName name="Module1.PRINT_GDET">#N/A</definedName>
    <definedName name="Module1.PRINT_GSUM">#N/A</definedName>
    <definedName name="Module1.PRINT_HDET">#N/A</definedName>
    <definedName name="Module1.PRINT_HSUM">#N/A</definedName>
    <definedName name="Module1.PRINT_J">#N/A</definedName>
    <definedName name="Module1.PRINT_OCCUPANCY">#N/A</definedName>
    <definedName name="Module1.PRINT_RECRATES">#N/A</definedName>
    <definedName name="Module1.PRINT_REVENUES">#N/A</definedName>
    <definedName name="Module2.PRINT_2">#N/A</definedName>
    <definedName name="Module2.PRINT_BCCAM">#N/A</definedName>
    <definedName name="Module2.PRINT_BCMR">#N/A</definedName>
    <definedName name="Module2.PRINT_BCPR">#N/A</definedName>
    <definedName name="Module2.PRINT_BCTAX">#N/A</definedName>
    <definedName name="Module2.PRINT_D">#N/A</definedName>
    <definedName name="Module2.PRINT_DETAILS">#N/A</definedName>
    <definedName name="Module2.PRINT_EDET">#N/A</definedName>
    <definedName name="Module2.PRINT_EXPENSES">#N/A</definedName>
    <definedName name="Module2.PRINT_F">#N/A</definedName>
    <definedName name="Module2.PRINT_GDET">#N/A</definedName>
    <definedName name="Module2.PRINT_HDET">#N/A</definedName>
    <definedName name="Module2.PRINT_HSUM">#N/A</definedName>
    <definedName name="Module2.PRINT_IDET">#N/A</definedName>
    <definedName name="Module2.PRINT_ISUM">#N/A</definedName>
    <definedName name="Module2.PRINT_J">#N/A</definedName>
    <definedName name="Module2.PRINT_REVENUES">#N/A</definedName>
    <definedName name="Module3.PRINT_GSUM">#N/A</definedName>
    <definedName name="Module4.PRINT_A">#N/A</definedName>
    <definedName name="Module4.PRINT_ESUM">#N/A</definedName>
    <definedName name="Module4.PRINT_REVENUES">#N/A</definedName>
    <definedName name="month">#REF!</definedName>
    <definedName name="Month_End">#REF!</definedName>
    <definedName name="monthdef">#REF!</definedName>
    <definedName name="Monthly_Payment">#N/A</definedName>
    <definedName name="MonthlyProForma">#REF!</definedName>
    <definedName name="MonthNames">{"Jan","Feb","Mar","Apr","May","Jun","Jul","Aug","Sep","Oct","Nov","Dec";"January","February","March","April","May","June","July","August","September","October","November","December"}</definedName>
    <definedName name="MonthNumRow">#REF!</definedName>
    <definedName name="monthpros">#REF!</definedName>
    <definedName name="monthten">#REF!</definedName>
    <definedName name="MORT_RATE">#REF!</definedName>
    <definedName name="mortconst">#REF!</definedName>
    <definedName name="MORTgage1">#REF!</definedName>
    <definedName name="MORTPERPAR">#REF!</definedName>
    <definedName name="Mos_Remain">#REF!</definedName>
    <definedName name="MoveInsPerMonth">#REF!</definedName>
    <definedName name="mresearch">#REF!</definedName>
    <definedName name="MRK">#REF!</definedName>
    <definedName name="MRTG1">#REF!</definedName>
    <definedName name="MRTG10">#REF!</definedName>
    <definedName name="MRTG2">#REF!</definedName>
    <definedName name="MRTG3">#REF!</definedName>
    <definedName name="MRTG4">#REF!</definedName>
    <definedName name="MRTG5">#REF!</definedName>
    <definedName name="MRTG6">#REF!</definedName>
    <definedName name="MRTG7">#REF!</definedName>
    <definedName name="MRTG8">#REF!</definedName>
    <definedName name="MRTG9">#REF!</definedName>
    <definedName name="Msr">#REF!</definedName>
    <definedName name="multSecurities_L">#REF!</definedName>
    <definedName name="myDialog">"dial"</definedName>
    <definedName name="MyRange">OFFSET(#REF!,0,0,1,#REF!-1)</definedName>
    <definedName name="N">#REF!</definedName>
    <definedName name="n_t1">#REF!</definedName>
    <definedName name="NA">#REF!</definedName>
    <definedName name="name">#REF!</definedName>
    <definedName name="Name1">{"cot1",#N/A,FALSE,"Cottages";"cot2",#N/A,FALSE,"Cottages";"cot3",#N/A,FALSE,"Cottages"}</definedName>
    <definedName name="Names">#REF!,#REF!,#REF!,#REF!,#REF!,#REF!,#REF!,#REF!,#REF!,#REF!,#REF!,#REF!,#REF!</definedName>
    <definedName name="NASHVILLE_HI">#REF!</definedName>
    <definedName name="NBIRRTable">#REF!,#REF!,#REF!</definedName>
    <definedName name="NBPP">#REF!</definedName>
    <definedName name="NBSalesCap">#REF!</definedName>
    <definedName name="ND_After_Purchase_Amort.">#REF!</definedName>
    <definedName name="NDINVDIST">#REF!</definedName>
    <definedName name="Neck___Shoulder">#REF!</definedName>
    <definedName name="Neck_Treatment">#REF!</definedName>
    <definedName name="NEGOTIATION">#REF!</definedName>
    <definedName name="Neighborhoods">#REF!</definedName>
    <definedName name="NET_INCOME_MTD">#REF!</definedName>
    <definedName name="NET_INCOME_YTD">#REF!</definedName>
    <definedName name="net_price">#REF!</definedName>
    <definedName name="Net_Residual">#REF!</definedName>
    <definedName name="NetEffectiveBelowGradeInputPage">#REF!</definedName>
    <definedName name="NetEffectiveRentBelowGradeTenant">#REF!</definedName>
    <definedName name="NetEffectiveRentRetail1">#REF!</definedName>
    <definedName name="NetEffectiveRentTenant1">#REF!</definedName>
    <definedName name="NetEffectiveRentTenant2">#REF!</definedName>
    <definedName name="NetEffectiveRentTenant3">#REF!</definedName>
    <definedName name="NetEffectiveTenant1InputPage">#REF!</definedName>
    <definedName name="NetEffectiveTenant2InputPage">#REF!</definedName>
    <definedName name="NetEffectiveTenant3InputPage">#REF!</definedName>
    <definedName name="NETLAND">#REF!</definedName>
    <definedName name="NetTerminalValue">#REF!</definedName>
    <definedName name="Neuromuscular_Therapy___50_Min.">#REF!</definedName>
    <definedName name="Neuromuscular_Therapy___75_Min.">#REF!</definedName>
    <definedName name="new">{"'B-2 QSER Jun 98 4-27-98 cor'!$A$1:$F$57"}</definedName>
    <definedName name="New_Supp">#REF!</definedName>
    <definedName name="newdebt">#REF!</definedName>
    <definedName name="newequity">#REF!</definedName>
    <definedName name="newhtml">{"'Assump'!$F$6:$J$6"}</definedName>
    <definedName name="newoccupiedspace">#REF!</definedName>
    <definedName name="newrange">{"Annual Cash Flows",#N/A,FALSE,"Annual Summary"}</definedName>
    <definedName name="NEWRSF">#REF!</definedName>
    <definedName name="nFill">#REF!</definedName>
    <definedName name="nine">#REF!</definedName>
    <definedName name="nmsti01">#REF!</definedName>
    <definedName name="nmsti02">#REF!</definedName>
    <definedName name="nmsti03">#REF!</definedName>
    <definedName name="nmsti04">#REF!</definedName>
    <definedName name="nmsti05">#REF!</definedName>
    <definedName name="no" localSheetId="11">{"Construction Costs",#N/A,FALSE,"Budget";"Income Statement",#N/A,FALSE,"Budget"}</definedName>
    <definedName name="no">{"Construction Costs",#N/A,FALSE,"Budget";"Income Statement",#N/A,FALSE,"Budget"}</definedName>
    <definedName name="noi">#REF!</definedName>
    <definedName name="noi_table">#REF!</definedName>
    <definedName name="NOI_To_Cap">#REF!</definedName>
    <definedName name="NOI_Yield">#REF!</definedName>
    <definedName name="NOIIncrease">#REF!</definedName>
    <definedName name="noitemplate">#REF!</definedName>
    <definedName name="Non_SCM_Priority_Sale_Distribution">#REF!</definedName>
    <definedName name="noname1">#REF!</definedName>
    <definedName name="NONE">#REF!</definedName>
    <definedName name="Noni_Body_Wrap">#REF!</definedName>
    <definedName name="NonMkt_Retail_Rent_PSF">#REF!</definedName>
    <definedName name="NORM_EXP_INFLAT">#REF!</definedName>
    <definedName name="NORMAL">#REF!</definedName>
    <definedName name="NORMAL_INPUT">#REF!</definedName>
    <definedName name="Normal_Reserve_seek">#REF!</definedName>
    <definedName name="NORMAL_TEST">#REF!</definedName>
    <definedName name="NormalUnits">#REF!</definedName>
    <definedName name="not" localSheetId="11">{#N/A,#N/A,FALSE,"FRC";#N/A,#N/A,FALSE,"ExecS";#N/A,#N/A,FALSE,"Summary CF";#N/A,#N/A,FALSE,"Detail CF";#N/A,#N/A,FALSE,"CF Assum";#N/A,#N/A,FALSE,"M Summary CF";#N/A,#N/A,FALSE,"M Detail CF";#N/A,#N/A,FALSE,"OSR";#N/A,#N/A,FALSE,"CTSR";#N/A,#N/A,FALSE,"RTSR";#N/A,#N/A,FALSE,"T Revenue";#N/A,#N/A,FALSE,"RP Trans";#N/A,#N/A,FALSE,"RE Taxes";#N/A,#N/A,FALSE,"S &amp; W";#N/A,#N/A,FALSE,"Cap X";#N/A,#N/A,FALSE,"P Bldg Improv"}</definedName>
    <definedName name="not">{#N/A,#N/A,FALSE,"FRC";#N/A,#N/A,FALSE,"ExecS";#N/A,#N/A,FALSE,"Summary CF";#N/A,#N/A,FALSE,"Detail CF";#N/A,#N/A,FALSE,"CF Assum";#N/A,#N/A,FALSE,"M Summary CF";#N/A,#N/A,FALSE,"M Detail CF";#N/A,#N/A,FALSE,"OSR";#N/A,#N/A,FALSE,"CTSR";#N/A,#N/A,FALSE,"RTSR";#N/A,#N/A,FALSE,"T Revenue";#N/A,#N/A,FALSE,"RP Trans";#N/A,#N/A,FALSE,"RE Taxes";#N/A,#N/A,FALSE,"S &amp; W";#N/A,#N/A,FALSE,"Cap X";#N/A,#N/A,FALSE,"P Bldg Improv"}</definedName>
    <definedName name="NOTES">#REF!</definedName>
    <definedName name="nothing" localSheetId="11">{"Construction Costs",#N/A,FALSE,"Budget";"Income Statement",#N/A,FALSE,"Budget"}</definedName>
    <definedName name="nothing">{"Construction Costs",#N/A,FALSE,"Budget";"Income Statement",#N/A,FALSE,"Budget"}</definedName>
    <definedName name="Notional">#REF!</definedName>
    <definedName name="NOV00">#REF!</definedName>
    <definedName name="Now">{"Assumptions",#N/A,TRUE,"Returns";"Tables",#N/A,TRUE,"Returns"}</definedName>
    <definedName name="npsb01">#REF!</definedName>
    <definedName name="npsb02">#REF!</definedName>
    <definedName name="npsb03">#REF!</definedName>
    <definedName name="npsb04">#REF!</definedName>
    <definedName name="npsb05">#REF!</definedName>
    <definedName name="NPV">#N/A</definedName>
    <definedName name="NPV_Project">#REF!</definedName>
    <definedName name="NPVA">#REF!</definedName>
    <definedName name="NPVP">#REF!</definedName>
    <definedName name="NRA">#REF!</definedName>
    <definedName name="NRESLIST">#REF!</definedName>
    <definedName name="NRESLISTBORDER">#REF!</definedName>
    <definedName name="NRSF">#REF!</definedName>
    <definedName name="Num_Pmt_Per_Year">#REF!</definedName>
    <definedName name="Number">#REF!</definedName>
    <definedName name="Number_of_Payments">MATCH(0.01,End_Bal,-1)+1</definedName>
    <definedName name="Number_of_Units">#REF!</definedName>
    <definedName name="NumberofApartmentUnits">#REF!</definedName>
    <definedName name="NumberofCondoUnits">#REF!</definedName>
    <definedName name="NumberYears">#REF!</definedName>
    <definedName name="NumGrids">#REF!</definedName>
    <definedName name="NvsASD">"V2001-12-31"</definedName>
    <definedName name="NvsAutoDrillOk">"VN"</definedName>
    <definedName name="NvsElapsedTime">0.000300115745631047</definedName>
    <definedName name="NvsEndTime">36992.6982466435</definedName>
    <definedName name="NvsInstanceHook">"ColumnFormat"</definedName>
    <definedName name="NvsInstLang">"VENG"</definedName>
    <definedName name="NvsInstSpec">"%"</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"%,X,RZF..,CPF.."</definedName>
    <definedName name="NvsPanelBusUnit">"V"</definedName>
    <definedName name="NvsPanelEffdt">"V2001-01-01"</definedName>
    <definedName name="NvsPanelSetid">"VUSCO"</definedName>
    <definedName name="NvsReqBU">"VUSCO"</definedName>
    <definedName name="NvsReqBUOnly">"VN"</definedName>
    <definedName name="NvsTransLed">"VN"</definedName>
    <definedName name="NvsTreeASD">"V2001-12-31"</definedName>
    <definedName name="NvsValTbl.ACCOUNT">"GL_ACCOUNT_TBL"</definedName>
    <definedName name="NvsValTbl.BUSINESS_UNIT">"BUS_UNIT_TBL_GL"</definedName>
    <definedName name="NvsValTbl.CURRENCY_CD">"CURRENCY_CD_TBL"</definedName>
    <definedName name="NvsValTbl.DEPTID">"DEPARTMENT_TBL"</definedName>
    <definedName name="NvsValTbl.PRODUCT">"PRODUCT_TBL"</definedName>
    <definedName name="NvsValTbl.SCENARIO">"BD_SCENARIO_TBL"</definedName>
    <definedName name="NvsValTbl.STATISTICS_CODE">"STAT_TBL"</definedName>
    <definedName name="o">{"sheet a",#N/A,FALSE,"A";"2 9 casflow",#N/A,FALSE,"B"}</definedName>
    <definedName name="oasis">#REF!</definedName>
    <definedName name="occcost">#REF!</definedName>
    <definedName name="Occupancy">#REF!</definedName>
    <definedName name="Occupancy_Rate">#REF!</definedName>
    <definedName name="OCCUPIEDSPACE">#REF!</definedName>
    <definedName name="OCF">#REF!</definedName>
    <definedName name="OCT00">#REF!</definedName>
    <definedName name="oeprint">#REF!</definedName>
    <definedName name="Office">#REF!</definedName>
    <definedName name="OFFICE_HR_EST">#REF!</definedName>
    <definedName name="OFFICE_HR_OUT">#REF!</definedName>
    <definedName name="OFFICE_LR_EST">#REF!</definedName>
    <definedName name="OFFICE_LR_OUT">#REF!</definedName>
    <definedName name="OfficeAboveGradeConstructionCost">#REF!</definedName>
    <definedName name="OfficeIncomePerSpacePerMonth">#REF!</definedName>
    <definedName name="OfficeParkingSF">#REF!</definedName>
    <definedName name="OfficeRSF">#REF!</definedName>
    <definedName name="offices" localSheetId="11">{"Construction Costs",#N/A,FALSE,"Budget";"Income Statement",#N/A,FALSE,"Budget"}</definedName>
    <definedName name="offices">{"Construction Costs",#N/A,FALSE,"Budget";"Income Statement",#N/A,FALSE,"Budget"}</definedName>
    <definedName name="OfficeTenantRollOutOccupancyPercentage">#REF!</definedName>
    <definedName name="OfficeYesNoSwitch">#REF!</definedName>
    <definedName name="offrsf">#REF!</definedName>
    <definedName name="OHDoors">#REF!</definedName>
    <definedName name="OHF">#REF!</definedName>
    <definedName name="oiprint">#REF!</definedName>
    <definedName name="ok" localSheetId="11">{"Construction Costs",#N/A,FALSE,"Budget";"Income Statement",#N/A,FALSE,"Budget"}</definedName>
    <definedName name="ok">{"Construction Costs",#N/A,FALSE,"Budget";"Income Statement",#N/A,FALSE,"Budget"}</definedName>
    <definedName name="OLD">{#N/A,#N/A,FALSE,"Aging Summary";#N/A,#N/A,FALSE,"Ratio Analysis";#N/A,#N/A,FALSE,"Test 120 Day Accts";#N/A,#N/A,FALSE,"Tickmarks"}</definedName>
    <definedName name="olddebt">#REF!</definedName>
    <definedName name="oldhtl">{"'Assump'!$F$6:$J$6"}</definedName>
    <definedName name="OLDRSF">#REF!</definedName>
    <definedName name="OLDVACANT">#REF!</definedName>
    <definedName name="omisc">#REF!</definedName>
    <definedName name="omisc1">#REF!</definedName>
    <definedName name="One">{#N/A,#N/A,FALSE,"Consol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OnPropRds">#REF!</definedName>
    <definedName name="ONS">#REF!</definedName>
    <definedName name="Openyear">#REF!</definedName>
    <definedName name="Operating_CF_Waterfall_Priority">#REF!</definedName>
    <definedName name="OpExatOccupancy">#REF!</definedName>
    <definedName name="OpExatProjectStart">#REF!</definedName>
    <definedName name="OpExInflationRate">#REF!</definedName>
    <definedName name="OpExInflationYesorNo">#REF!</definedName>
    <definedName name="OpExNonReimbursable">#REF!</definedName>
    <definedName name="OPEXP">#REF!</definedName>
    <definedName name="OpExSF">#REF!</definedName>
    <definedName name="OPPROFIT">#REF!</definedName>
    <definedName name="ORESLIST">#REF!</definedName>
    <definedName name="ORESLISTBORDER">#REF!</definedName>
    <definedName name="origamt1">#REF!</definedName>
    <definedName name="origamt2">#REF!</definedName>
    <definedName name="OSS">#REF!</definedName>
    <definedName name="OT">#REF!</definedName>
    <definedName name="OTHEREXPGR">#REF!</definedName>
    <definedName name="otherinc">#REF!</definedName>
    <definedName name="OTHERREVGR">#REF!</definedName>
    <definedName name="Out">#REF!</definedName>
    <definedName name="OUTFORSIG">#REF!</definedName>
    <definedName name="Outs">#REF!</definedName>
    <definedName name="Overhead_Development_Fee">#REF!</definedName>
    <definedName name="overwrite">#REF!</definedName>
    <definedName name="OwnerContingency_percentage">'00_JobSetup'!$C$24</definedName>
    <definedName name="P">#REF!</definedName>
    <definedName name="P_1">#REF!</definedName>
    <definedName name="P_1_IRR">#REF!</definedName>
    <definedName name="P_ALL">#REF!</definedName>
    <definedName name="P_ARCH">#REF!</definedName>
    <definedName name="P_CONSTRUCTION">#REF!</definedName>
    <definedName name="P_DEV">#REF!</definedName>
    <definedName name="P_FINANCE">#REF!</definedName>
    <definedName name="P_RETURNS">#REF!</definedName>
    <definedName name="P1_Common_Fut_Fund_Pct">#REF!</definedName>
    <definedName name="P1_Common_Op_CF_Share">#REF!</definedName>
    <definedName name="P1_Common_Res_CF_Share">#REF!</definedName>
    <definedName name="P1_Common_Tier_1_Priority">#REF!</definedName>
    <definedName name="P1_Common_Tier_2_Priority">#REF!</definedName>
    <definedName name="P1_Common_Tier_3_Priority">#REF!</definedName>
    <definedName name="P1_NPV_Discount">#REF!</definedName>
    <definedName name="P1_Ownership">#REF!</definedName>
    <definedName name="P1_Pref_Fut_Fundings">#REF!</definedName>
    <definedName name="P1_Pref_Ownership">#REF!</definedName>
    <definedName name="P1_Pref_Tier_1_Priority">#REF!</definedName>
    <definedName name="P1_Pref_Tier_2_Priority">#REF!</definedName>
    <definedName name="P1_Pref_Tier_3_Priority">#REF!</definedName>
    <definedName name="p1tsf">#REF!</definedName>
    <definedName name="p2tsf">#REF!</definedName>
    <definedName name="PadAmount">#REF!</definedName>
    <definedName name="PaddingAmounts">#REF!</definedName>
    <definedName name="page">#REF!</definedName>
    <definedName name="Page_1">#REF!</definedName>
    <definedName name="Page_2">#REF!</definedName>
    <definedName name="Page_3">#REF!</definedName>
    <definedName name="Page_4">#REF!</definedName>
    <definedName name="PAGE1">#REF!</definedName>
    <definedName name="Page1Revised">#REF!</definedName>
    <definedName name="PAGE2">#REF!</definedName>
    <definedName name="Page2revised">#REF!</definedName>
    <definedName name="PAGE3">#REF!</definedName>
    <definedName name="PAGE3_1">#REF!</definedName>
    <definedName name="PAGE3A">#REF!</definedName>
    <definedName name="PAGE4">#REF!</definedName>
    <definedName name="PAGE5">#REF!</definedName>
    <definedName name="PAGE55">#REF!</definedName>
    <definedName name="pageI">#REF!</definedName>
    <definedName name="pageI_delmon">#REF!</definedName>
    <definedName name="pageII">#REF!</definedName>
    <definedName name="pageII_delmon">#REF!</definedName>
    <definedName name="PAID_TO">#REF!</definedName>
    <definedName name="Painting">#REF!</definedName>
    <definedName name="PaintingDesc">#REF!</definedName>
    <definedName name="PaintingSub">#REF!</definedName>
    <definedName name="palisades">{#N/A,#N/A,FALSE,"WATCHDSC";#N/A,#N/A,FALSE,"2LOSSMOD";#N/A,#N/A,FALSE,"2LOSS";#N/A,#N/A,FALSE,"DSC";#N/A,#N/A,FALSE,"OPERAT";#N/A,#N/A,FALSE,"ADJUST";#N/A,#N/A,FALSE,"LEASE EXPIRE"}</definedName>
    <definedName name="PALM">#REF!</definedName>
    <definedName name="Palmer">#REF!</definedName>
    <definedName name="pandlcash">#REF!</definedName>
    <definedName name="Papaya_Massage">#REF!</definedName>
    <definedName name="Papaya_WET">#REF!</definedName>
    <definedName name="Param_CumRent" localSheetId="11">#REF!</definedName>
    <definedName name="Param_CumRent">#REF!</definedName>
    <definedName name="Param_CurrentDate">#REF!</definedName>
    <definedName name="Param_DRCredit" localSheetId="11">#REF!</definedName>
    <definedName name="Param_DRCredit">#REF!</definedName>
    <definedName name="Param_DRNonCredit" localSheetId="11">#REF!</definedName>
    <definedName name="Param_DRNonCredit">#REF!</definedName>
    <definedName name="Param_IncludeCPI" localSheetId="11">#REF!</definedName>
    <definedName name="Param_IncludeCPI">#REF!</definedName>
    <definedName name="Param_IncludePercentRent" localSheetId="11">#REF!</definedName>
    <definedName name="Param_IncludePercentRent">#REF!</definedName>
    <definedName name="Param_IncludePW">#REF!</definedName>
    <definedName name="Param_Inclusion">#REF!</definedName>
    <definedName name="Param_PVAbatement">#REF!</definedName>
    <definedName name="Param_SLAbatement">#REF!</definedName>
    <definedName name="Param_VacMarket">#REF!</definedName>
    <definedName name="Param_VacRenew">#REF!</definedName>
    <definedName name="Param_VacVacate">#REF!</definedName>
    <definedName name="PARKING">#REF!</definedName>
    <definedName name="PARKING_ABV_GR_EST">#REF!</definedName>
    <definedName name="PARKING_ABV_GR_OUT">#REF!</definedName>
    <definedName name="PARKING_BELOW_GR_EST">#REF!</definedName>
    <definedName name="PARKING_BELOW_GR_OUT">#REF!</definedName>
    <definedName name="Parking_Lot_Landscaping">#REF!</definedName>
    <definedName name="Parking_Rate_Monthly">#REF!</definedName>
    <definedName name="ParkingIncomePriceEscalation">#REF!</definedName>
    <definedName name="Participation_Source">#REF!</definedName>
    <definedName name="PARTICULARS">#REF!</definedName>
    <definedName name="Partner">#REF!</definedName>
    <definedName name="Partner_Common_Fut_Fund_Pct">#REF!</definedName>
    <definedName name="Partner_Common_Op_CF_Share">#REF!</definedName>
    <definedName name="Partner_Common_Res_CF_Share">#REF!</definedName>
    <definedName name="Partner_Common_Res_CF_SharePartner_Common_Res_CF_Share">#REF!</definedName>
    <definedName name="Partner_Common_Tier_1_Priority">#REF!</definedName>
    <definedName name="Partner_Common_Tier_2_Priority">#REF!</definedName>
    <definedName name="Partner_Common_Tier_3_Priority">#REF!</definedName>
    <definedName name="Partner_Equity_Contribution">#REF!</definedName>
    <definedName name="Partner_NPV_Discount">#REF!</definedName>
    <definedName name="Partner_Ownership">#REF!</definedName>
    <definedName name="Partner_Pref_Fut_Fundings">#REF!</definedName>
    <definedName name="Partner_Pref_Ownership">#REF!</definedName>
    <definedName name="Partner_Pref_Tier_1_Priority">#REF!</definedName>
    <definedName name="Partner_Pref_Tier_2_Priority">#REF!</definedName>
    <definedName name="Partner_Pref_Tier_3_Priority">#REF!</definedName>
    <definedName name="Patio">#REF!</definedName>
    <definedName name="Pay_Date">#REF!</definedName>
    <definedName name="Pay_Num">#REF!</definedName>
    <definedName name="Payback_Priority">#REF!</definedName>
    <definedName name="PAYMENT">#REF!</definedName>
    <definedName name="payment.Num">IF(OR(#REF!="",#REF!=#REF!),"",#REF!+1)</definedName>
    <definedName name="Payment_Date">DATE(YEAR(Loan_Start),MONTH(Loan_Start)+#REF!,DAY(Loan_Start))</definedName>
    <definedName name="Payment_Number">ROW()-#REF!</definedName>
    <definedName name="Payment_Type">#REF!</definedName>
    <definedName name="Payment_Type_">#REF!</definedName>
    <definedName name="Payment_Type_Debt">#REF!</definedName>
    <definedName name="Payment_Type_Debt_1">#REF!</definedName>
    <definedName name="Payment_Type_Debt_2">#REF!</definedName>
    <definedName name="PaymentFrequency">#REF!</definedName>
    <definedName name="Payments_per_year">#REF!</definedName>
    <definedName name="PaymentsAnchor">#REF!</definedName>
    <definedName name="Payot_Eye_Treatment_Add">#REF!</definedName>
    <definedName name="payroll">#REF!</definedName>
    <definedName name="PBankStatus">#REF!</definedName>
    <definedName name="pbStartPageNumber">1</definedName>
    <definedName name="pbUpdatePageNumbering">TRUE</definedName>
    <definedName name="PCap">#REF!</definedName>
    <definedName name="PCode">#REF!</definedName>
    <definedName name="Pct_Land">#REF!</definedName>
    <definedName name="Pd">#REF!</definedName>
    <definedName name="peprint">#REF!</definedName>
    <definedName name="PER_PMT">#REF!</definedName>
    <definedName name="Percent">#REF!</definedName>
    <definedName name="Percent_Leased">#REF!</definedName>
    <definedName name="PercentagesSource">#REF!</definedName>
    <definedName name="PercentOpExFixed">#REF!</definedName>
    <definedName name="PercentOpExVariable">#REF!</definedName>
    <definedName name="PercentResidentialApartment">#REF!</definedName>
    <definedName name="PercentResidentialCondo">#REF!</definedName>
    <definedName name="Period">#REF!</definedName>
    <definedName name="Periodic_rate">#REF!/#REF!</definedName>
    <definedName name="perm_debt2">#REF!</definedName>
    <definedName name="Perm_Wave">#REF!</definedName>
    <definedName name="PermanentFinancingFee">#REF!</definedName>
    <definedName name="PermanentLoanInterestRate">#REF!</definedName>
    <definedName name="PermanentLoanTotalAmount">#REF!</definedName>
    <definedName name="permdate">#REF!</definedName>
    <definedName name="PermIntRate">#REF!</definedName>
    <definedName name="PermitDesc">#REF!</definedName>
    <definedName name="permrate">#REF!</definedName>
    <definedName name="PermRetailLoanAmt">#REF!</definedName>
    <definedName name="PermVacant">#REF!</definedName>
    <definedName name="permvacantrate">#REF!</definedName>
    <definedName name="PG_IND">#REF!</definedName>
    <definedName name="PG_OFF">#REF!</definedName>
    <definedName name="PGADJ">#REF!</definedName>
    <definedName name="PHOTOS">{#N/A,#N/A,FALSE,"RENT ROLL"}</definedName>
    <definedName name="Physical_Inspection">#REF!</definedName>
    <definedName name="piprint">#REF!</definedName>
    <definedName name="Pitchbook">{#N/A,#N/A,TRUE,"Sheet16"}</definedName>
    <definedName name="PITTSBURG">#REF!</definedName>
    <definedName name="pk_ten_hth_1">#REF!</definedName>
    <definedName name="Pkg_Unit_Sale_Price">#REF!</definedName>
    <definedName name="pkh">#REF!</definedName>
    <definedName name="pkhh">#REF!</definedName>
    <definedName name="pkhh1">#REF!</definedName>
    <definedName name="pkm">#REF!</definedName>
    <definedName name="pkmh">#REF!</definedName>
    <definedName name="pkmh1">#REF!</definedName>
    <definedName name="pky">{#N/A,#N/A,FALSE,"A";#N/A,#N/A,FALSE,"B";#N/A,#N/A,FALSE,"C";#N/A,#N/A,FALSE,"D";#N/A,#N/A,FALSE,"E";#N/A,#N/A,FALSE,"F";#N/A,#N/A,FALSE,"G";#N/A,#N/A,FALSE,"H";#N/A,#N/A,FALSE,"I";#N/A,#N/A,FALSE,"J";#N/A,#N/A,FALSE,"K";#N/A,#N/A,FALSE,"L";#N/A,#N/A,FALSE,"M";#N/A,#N/A,FALSE,"N";#N/A,#N/A,FALSE,"O";#N/A,#N/A,FALSE,"P";#N/A,#N/A,FALSE,"Q";#N/A,#N/A,FALSE,"R"}</definedName>
    <definedName name="PlaceSOG">#REF!</definedName>
    <definedName name="Plaza_I___Total_sq.ft.">#REF!</definedName>
    <definedName name="Plaza_II___Total_sq.ft.">#REF!</definedName>
    <definedName name="please">{"Assumptions",#N/A,TRUE,"Returns";"Tables",#N/A,TRUE,"Returns"}</definedName>
    <definedName name="PLocation">#REF!</definedName>
    <definedName name="PLRE">#REF!</definedName>
    <definedName name="plsum">#REF!</definedName>
    <definedName name="Plumbing">#REF!</definedName>
    <definedName name="PlumbingDesc">#REF!</definedName>
    <definedName name="PlumbingSub">#REF!</definedName>
    <definedName name="PMT">#REF!</definedName>
    <definedName name="PMTS_PER_YR">#REF!</definedName>
    <definedName name="pname">#REF!</definedName>
    <definedName name="pointewest">#REF!</definedName>
    <definedName name="Points">#REF!+#REF!</definedName>
    <definedName name="Polish___Tan_Service">#REF!</definedName>
    <definedName name="Pool_In_Use">#REF!</definedName>
    <definedName name="PORT">#REF!</definedName>
    <definedName name="PORTFOLIO">#REF!</definedName>
    <definedName name="PORTFOLIO2">#REF!</definedName>
    <definedName name="PP">#REF!</definedName>
    <definedName name="PPBase">#REF!</definedName>
    <definedName name="ppday1st">#REF!</definedName>
    <definedName name="ppday2nd">#REF!</definedName>
    <definedName name="PPLow">#REF!</definedName>
    <definedName name="ppmo1st">#REF!</definedName>
    <definedName name="ppmo2nd">#REF!</definedName>
    <definedName name="ppppp">#REF!</definedName>
    <definedName name="PPRICE">#REF!</definedName>
    <definedName name="ppyear1st">#REF!</definedName>
    <definedName name="ppyear2nd">#REF!</definedName>
    <definedName name="pr_lb_rs">#REF!</definedName>
    <definedName name="pr_ln1_ln2">#REF!</definedName>
    <definedName name="pr_pk_ten_hth">#REF!</definedName>
    <definedName name="pr_r1_r2">#REF!</definedName>
    <definedName name="pr_r3_r4_sp">#REF!</definedName>
    <definedName name="pr_ten_hth_rec_gft_hr_ga">#REF!</definedName>
    <definedName name="Praed">#REF!</definedName>
    <definedName name="prcomp">#REF!</definedName>
    <definedName name="Precast">#REF!</definedName>
    <definedName name="PreDevelopmentPeriod">#REF!</definedName>
    <definedName name="pref">#REF!</definedName>
    <definedName name="Pref_Accrued_Rate">#REF!</definedName>
    <definedName name="Pref_Adjust_Amount">#REF!</definedName>
    <definedName name="Pref_Amort_Mo">#REF!</definedName>
    <definedName name="Pref_Amort_Y_N">#REF!</definedName>
    <definedName name="Pref_Balance">#REF!</definedName>
    <definedName name="Pref_Base_Rate">#REF!</definedName>
    <definedName name="Pref_CF_Participation_Pct">#REF!</definedName>
    <definedName name="Pref_CF_Particpation">#REF!</definedName>
    <definedName name="Pref_CMT_Fee">#REF!</definedName>
    <definedName name="Pref_Equity_Future_Fund">#REF!</definedName>
    <definedName name="pref_equity2">#REF!</definedName>
    <definedName name="Pref_Exit_Fee">#REF!</definedName>
    <definedName name="Pref_Exit_Fee_P1_Pct">#REF!</definedName>
    <definedName name="Pref_Final_Tier_Hurdle_Share">#REF!</definedName>
    <definedName name="Pref_Fixed_Months">#REF!</definedName>
    <definedName name="Pref_Floating_Rate">#REF!</definedName>
    <definedName name="Pref_Fut_Fundings_Pref_Rate">#REF!</definedName>
    <definedName name="Pref_Index">#REF!</definedName>
    <definedName name="Pref_Kicker_Percent">#REF!</definedName>
    <definedName name="Pref_Kicker_Y_N">#REF!</definedName>
    <definedName name="Pref_Mat_Date">#REF!</definedName>
    <definedName name="Pref_Mezz">#REF!</definedName>
    <definedName name="Pref_Mezz_Reserve_Max_Fund">#REF!</definedName>
    <definedName name="Pref_Month_Adjust">#REF!</definedName>
    <definedName name="Pref_or_Mezz">#REF!</definedName>
    <definedName name="Pref_Rate_Cap">#REF!</definedName>
    <definedName name="Pref_Soft_Pay_Rate">#REF!</definedName>
    <definedName name="Pref_Tier_1_Hurdle">#REF!</definedName>
    <definedName name="Pref_Tier_1_Hurdle_Share">#REF!</definedName>
    <definedName name="Pref_Tier_2_Hurdle">#REF!</definedName>
    <definedName name="Pref_Tier_2_Hurdle_Share">#REF!</definedName>
    <definedName name="Pref_Tier_3_Hurdle">#REF!</definedName>
    <definedName name="Pref_Tier_3_Hurdle_Share">#REF!</definedName>
    <definedName name="Pref_Tiered_Promote_Trigger">#REF!</definedName>
    <definedName name="Pref_Tiered_Promote_Y_N">#REF!</definedName>
    <definedName name="Pref_Tranche_Y_N">#REF!</definedName>
    <definedName name="PrefEq_Tier_1">#REF!</definedName>
    <definedName name="PrefEq_Tier_2">#REF!</definedName>
    <definedName name="PrefEq_Tier_3">#REF!</definedName>
    <definedName name="PrefEq_Tiered_Pref_Y_N">#REF!</definedName>
    <definedName name="PrefReturn">#REF!</definedName>
    <definedName name="Pregnancy_Massage___50_Min.">#REF!</definedName>
    <definedName name="Pregnancy_Package">#REF!</definedName>
    <definedName name="PreliminaryDate">#REF!</definedName>
    <definedName name="prepayment">#REF!</definedName>
    <definedName name="Presentation">#REF!</definedName>
    <definedName name="pretaxall">#REF!</definedName>
    <definedName name="pretaxDR">#REF!</definedName>
    <definedName name="PreviousBChanged">#REF!</definedName>
    <definedName name="PreviousBName">#REF!</definedName>
    <definedName name="PreviousBReleased">#REF!</definedName>
    <definedName name="PreviousBudgetID">#REF!</definedName>
    <definedName name="PreviousBudgetLoaded">#REF!</definedName>
    <definedName name="PreviousBudgetSaved">#REF!</definedName>
    <definedName name="PRICE">#REF!</definedName>
    <definedName name="Price_PerSqFt">#REF!</definedName>
    <definedName name="PrimaryShockingCell">#REF!</definedName>
    <definedName name="PrimeCap1">#REF!</definedName>
    <definedName name="PrimeSwap">#REF!</definedName>
    <definedName name="PrimeSwap20">#REF!</definedName>
    <definedName name="PRIN_AMT">#REF!</definedName>
    <definedName name="Princ">#REF!</definedName>
    <definedName name="Principal">IF(#REF!&lt;&gt;"",MIN(#REF!,#REF!-#REF!),"")</definedName>
    <definedName name="prinpaid">#REF!</definedName>
    <definedName name="PRINT">#REF!,#REF!,#REF!</definedName>
    <definedName name="Print__q" localSheetId="4">print_consol</definedName>
    <definedName name="Print__q">print_consol</definedName>
    <definedName name="PRINT_2">#N/A</definedName>
    <definedName name="PRINT_3">#N/A</definedName>
    <definedName name="PRINT_A">#N/A</definedName>
    <definedName name="PRINT_ALL">#REF!</definedName>
    <definedName name="Print_All_Traditional">#REF!</definedName>
    <definedName name="_xlnm.Print_Area" localSheetId="2">'00_JobSetup'!$A$1:$N$34</definedName>
    <definedName name="_xlnm.Print_Area" localSheetId="3">'01_ForecastLog'!$A$1:$I$39</definedName>
    <definedName name="_xlnm.Print_Area" localSheetId="5">'02_BudgetLog'!$A$1:$G$68</definedName>
    <definedName name="_xlnm.Print_Area" localSheetId="6">'03_BudgetReport'!$A$1:$N$67</definedName>
    <definedName name="_xlnm.Print_Area" localSheetId="4">'04_VendorDetail'!$B$1:$M$95</definedName>
    <definedName name="_xlnm.Print_Area" localSheetId="11">PAY_APP!$A$1:$AA$40</definedName>
    <definedName name="_xlnm.Print_Area" localSheetId="1">README_Instructions!$A$1:$E$15</definedName>
    <definedName name="_xlnm.Print_Area">#REF!</definedName>
    <definedName name="Print_Area_1">#REF!</definedName>
    <definedName name="Print_Area_2">#REF!</definedName>
    <definedName name="Print_Area_3">#REF!</definedName>
    <definedName name="Print_Area_4">#REF!</definedName>
    <definedName name="Print_Area_MI">#REF!</definedName>
    <definedName name="Print_Area_Reset">OFFSET(Full_Print,0,0,Last_Row)</definedName>
    <definedName name="Print_Area1">#REF!</definedName>
    <definedName name="PRINT_BCCAM">#N/A</definedName>
    <definedName name="PRINT_BCINS">#N/A</definedName>
    <definedName name="PRINT_BCMR">#N/A</definedName>
    <definedName name="PRINT_BCPR">#N/A</definedName>
    <definedName name="PRINT_BCTAX">#N/A</definedName>
    <definedName name="PRINT_BOARD">#REF!</definedName>
    <definedName name="Print_CF">#REF!</definedName>
    <definedName name="PRINT_D">#N/A</definedName>
    <definedName name="PRINT_DETAILS">#N/A</definedName>
    <definedName name="PRINT_EDET">#N/A</definedName>
    <definedName name="PRINT_ESUM">#N/A</definedName>
    <definedName name="Print_Expense">#N/A</definedName>
    <definedName name="PRINT_EXPENSES">#N/A</definedName>
    <definedName name="PRINT_EXPS">#N/A</definedName>
    <definedName name="PRINT_F">#N/A</definedName>
    <definedName name="PRINT_GDET">#N/A</definedName>
    <definedName name="PRINT_GSUM">#N/A</definedName>
    <definedName name="PRINT_HDET">#N/A</definedName>
    <definedName name="PRINT_HSUM">#N/A</definedName>
    <definedName name="PRINT_IDET">#N/A</definedName>
    <definedName name="PRINT_ISUM">#N/A</definedName>
    <definedName name="PRINT_J">#N/A</definedName>
    <definedName name="Print_Macro">#REF!</definedName>
    <definedName name="PRINT_MARKETING">#N/A</definedName>
    <definedName name="PRINT_MKTG">#N/A</definedName>
    <definedName name="PRINT_OCCUPANAL">#N/A</definedName>
    <definedName name="PRINT_OCCUPANCY">#N/A</definedName>
    <definedName name="PRINT_RATES">#N/A</definedName>
    <definedName name="PRINT_RECRATES">#N/A</definedName>
    <definedName name="PRINT_REV">#N/A</definedName>
    <definedName name="PRINT_REVENUES">#N/A</definedName>
    <definedName name="_xlnm.Print_Titles">#N/A</definedName>
    <definedName name="Print_Titles_MI">#REF!</definedName>
    <definedName name="PRINT_UTIL">#N/A</definedName>
    <definedName name="Print_Valuation">#REF!</definedName>
    <definedName name="Print1">#REF!</definedName>
    <definedName name="print2">#REF!</definedName>
    <definedName name="print3">#REF!</definedName>
    <definedName name="print4">#REF!</definedName>
    <definedName name="printa">#REF!</definedName>
    <definedName name="printarea">#REF!</definedName>
    <definedName name="printb">#REF!</definedName>
    <definedName name="PRINTC">#REF!</definedName>
    <definedName name="PRINTD">#REF!</definedName>
    <definedName name="printoutput">#REF!</definedName>
    <definedName name="PrintProjection">#N/A</definedName>
    <definedName name="PrintStatus">#REF!</definedName>
    <definedName name="Prn_Assump_10Yr">#REF!,#REF!</definedName>
    <definedName name="Prn_Assump_Static">#REF!,#REF!</definedName>
    <definedName name="Prn_Op_Stmnt_Dtl">#REF!,#REF!</definedName>
    <definedName name="Prn_Rent_Roll">#REF!</definedName>
    <definedName name="prntall">{#N/A,#N/A,FALSE,"Land";#N/A,#N/A,FALSE,"Cost Analysis";"Summary",#N/A,FALSE,"Equipment"}</definedName>
    <definedName name="Pro_forma">#REF!</definedName>
    <definedName name="proamenity">#REF!</definedName>
    <definedName name="Products">#REF!</definedName>
    <definedName name="PROF">#REF!</definedName>
    <definedName name="Profit">#REF!</definedName>
    <definedName name="Proforma">#REF!</definedName>
    <definedName name="proforma10">#REF!</definedName>
    <definedName name="ProForma1A">#REF!</definedName>
    <definedName name="ProForma1B">#REF!</definedName>
    <definedName name="ProformaLookup">#REF!</definedName>
    <definedName name="ProfRecogCurrentProf">#REF!</definedName>
    <definedName name="Proj">#REF!</definedName>
    <definedName name="Proj_Ex">#REF!</definedName>
    <definedName name="ProjDate">#REF!</definedName>
    <definedName name="ProjDateSP">#REF!</definedName>
    <definedName name="Project">#REF!</definedName>
    <definedName name="Project_Discount">#REF!</definedName>
    <definedName name="Project_Lender_Legal___Related_Costs">#REF!</definedName>
    <definedName name="Project_Managers" localSheetId="4">ProjectManagers[ProjectManager]</definedName>
    <definedName name="Project_Managers">ProjectManagers[ProjectManager]</definedName>
    <definedName name="ProjectDesc">#REF!</definedName>
    <definedName name="ProjectEquity">#REF!</definedName>
    <definedName name="projectfinishdate">#REF!</definedName>
    <definedName name="ProjectID">#REF!</definedName>
    <definedName name="ProjectMgr">#REF!</definedName>
    <definedName name="ProjectName">{"Client Name or Project Name"}</definedName>
    <definedName name="projectstartdate">#REF!</definedName>
    <definedName name="ProjectType">#REF!</definedName>
    <definedName name="ProjScreenDesc">#REF!</definedName>
    <definedName name="ProjScreenSub">#REF!</definedName>
    <definedName name="ProjYear">#REF!</definedName>
    <definedName name="ProjYear1">#REF!</definedName>
    <definedName name="ProjYear10">#REF!</definedName>
    <definedName name="ProjYear10SP">#REF!</definedName>
    <definedName name="ProjYear1SP">#REF!</definedName>
    <definedName name="ProjYear2">#REF!</definedName>
    <definedName name="ProjYear2SP">#REF!</definedName>
    <definedName name="ProjYear3">#REF!</definedName>
    <definedName name="ProjYear3SP">#REF!</definedName>
    <definedName name="ProjYear4">#REF!</definedName>
    <definedName name="ProjYear4SP">#REF!</definedName>
    <definedName name="ProjYear5">#REF!</definedName>
    <definedName name="ProjYear5SP">#REF!</definedName>
    <definedName name="ProjYear6">#REF!</definedName>
    <definedName name="ProjYear6SP">#REF!</definedName>
    <definedName name="ProjYear7">#REF!</definedName>
    <definedName name="ProjYear7SP">#REF!</definedName>
    <definedName name="ProjYear8">#REF!</definedName>
    <definedName name="ProjYear8SP">#REF!</definedName>
    <definedName name="ProjYear9">#REF!</definedName>
    <definedName name="ProjYear9SP">#REF!</definedName>
    <definedName name="ProjYearSP">#REF!</definedName>
    <definedName name="PROM">#REF!</definedName>
    <definedName name="PROM2">#REF!</definedName>
    <definedName name="PROMOTE">#REF!</definedName>
    <definedName name="Promote1">#REF!</definedName>
    <definedName name="Promote2">#REF!</definedName>
    <definedName name="promote3">#REF!</definedName>
    <definedName name="promte">{"Assumptions",#N/A,FALSE,"Assumptions"}</definedName>
    <definedName name="PROP_A1">#REF!</definedName>
    <definedName name="PROP_A10">#REF!</definedName>
    <definedName name="PROP_A101">#REF!</definedName>
    <definedName name="PROP_A103">#REF!</definedName>
    <definedName name="PROP_A104">#REF!</definedName>
    <definedName name="PROP_A106">#REF!</definedName>
    <definedName name="PROP_A109">#REF!</definedName>
    <definedName name="PROP_A11">#REF!</definedName>
    <definedName name="PROP_A110">#REF!</definedName>
    <definedName name="PROP_A111">#REF!</definedName>
    <definedName name="PROP_A113">#REF!</definedName>
    <definedName name="PROP_A114">#REF!</definedName>
    <definedName name="PROP_A13">#REF!</definedName>
    <definedName name="PROP_A14">#REF!</definedName>
    <definedName name="PROP_A16">#REF!</definedName>
    <definedName name="PROP_A17">#REF!</definedName>
    <definedName name="PROP_A3">#REF!</definedName>
    <definedName name="PROP_A4">#REF!</definedName>
    <definedName name="PROP_A6">#REF!</definedName>
    <definedName name="PROP_A9">#REF!</definedName>
    <definedName name="PROP_B1">#REF!</definedName>
    <definedName name="PROP_B11">#REF!</definedName>
    <definedName name="PROP_B14">#REF!</definedName>
    <definedName name="PROP_B15">#REF!</definedName>
    <definedName name="PROP_B16">#REF!</definedName>
    <definedName name="PROP_B17">#REF!</definedName>
    <definedName name="PROP_B18">#REF!</definedName>
    <definedName name="PROP_B19">#REF!</definedName>
    <definedName name="PROP_B4">#REF!</definedName>
    <definedName name="PROP_B5">#REF!</definedName>
    <definedName name="PROP_B6">#REF!</definedName>
    <definedName name="PROP_B7">#REF!</definedName>
    <definedName name="PROP_B8">#REF!</definedName>
    <definedName name="PROP_B9">#REF!</definedName>
    <definedName name="PROP_C1">#REF!</definedName>
    <definedName name="PROP_C101">#REF!</definedName>
    <definedName name="PROP_C103">#REF!</definedName>
    <definedName name="PROP_C3">#REF!</definedName>
    <definedName name="PROP_C4">#REF!</definedName>
    <definedName name="PROP_D1">#REF!</definedName>
    <definedName name="PROP_D101">#REF!</definedName>
    <definedName name="PROP_D102">#REF!</definedName>
    <definedName name="PROP_D103">#REF!</definedName>
    <definedName name="PROP_D104">#REF!</definedName>
    <definedName name="PROP_D105">#REF!</definedName>
    <definedName name="PROP_D2">#REF!</definedName>
    <definedName name="PROP_D3">#REF!</definedName>
    <definedName name="PROP_D4">#REF!</definedName>
    <definedName name="PROP_D5">#REF!</definedName>
    <definedName name="Prop_Info">#REF!</definedName>
    <definedName name="propAllIRR">#REF!</definedName>
    <definedName name="propAmort">#REF!</definedName>
    <definedName name="propCapRate">#REF!</definedName>
    <definedName name="propCashonCash">#REF!</definedName>
    <definedName name="propDebtService">#REF!</definedName>
    <definedName name="property">#REF!</definedName>
    <definedName name="Property_nam">#REF!</definedName>
    <definedName name="Property_Name">#REF!</definedName>
    <definedName name="propertyasc">#REF!</definedName>
    <definedName name="propInterest">#REF!</definedName>
    <definedName name="propLevIRR">#REF!</definedName>
    <definedName name="propLoan">#REF!</definedName>
    <definedName name="propLoanConstant">#REF!</definedName>
    <definedName name="propLTV">#REF!</definedName>
    <definedName name="propname">#REF!</definedName>
    <definedName name="ProposalNo">#REF!</definedName>
    <definedName name="PropStat">#REF!</definedName>
    <definedName name="ProtectionDesc">#REF!</definedName>
    <definedName name="ProtectionSub">#REF!</definedName>
    <definedName name="PRT">#REF!</definedName>
    <definedName name="prtt3">#REF!</definedName>
    <definedName name="prtt4">#REF!</definedName>
    <definedName name="prty3">#REF!</definedName>
    <definedName name="prty4">#REF!</definedName>
    <definedName name="PStatus">#REF!</definedName>
    <definedName name="PUR">#REF!</definedName>
    <definedName name="PURCHASE">#N/A</definedName>
    <definedName name="Purchase_Price">#REF!</definedName>
    <definedName name="pv">#REF!</definedName>
    <definedName name="PymtPrincInt">#REF!</definedName>
    <definedName name="q" localSheetId="11">{"Construction Costs",#N/A,FALSE,"Budget";"Income Statement",#N/A,FALSE,"Budget"}</definedName>
    <definedName name="q">{"Construction Costs",#N/A,FALSE,"Budget";"Income Statement",#N/A,FALSE,"Budget"}</definedName>
    <definedName name="qerfwe">{#N/A,#N/A,TRUE,"3-Gateway";#N/A,#N/A,TRUE,"4-ByrkitAve.Bus.Ctr.";#N/A,#N/A,TRUE,"5- 851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qq">{"ed1",#N/A,TRUE,"E-D";"ed2",#N/A,TRUE,"E-D"}</definedName>
    <definedName name="Qty_CommSt_Condo_SF">#REF!</definedName>
    <definedName name="Qty_Mkt_Retail_SF">#REF!</definedName>
    <definedName name="Qty_NonMkt_Retail_SF">#REF!</definedName>
    <definedName name="QUIT">#REF!</definedName>
    <definedName name="qwdEWdf">{#N/A,#N/A,FALSE,"Loan Summary";#N/A,#N/A,FALSE,"NOI";"RR and Expir",#N/A,FALSE,"Rental";"Sales History",#N/A,FALSE,"Rental";#N/A,#N/A,FALSE,"Reserves"}</definedName>
    <definedName name="RA">#REF!</definedName>
    <definedName name="Raindrop_Massage">#REF!</definedName>
    <definedName name="RaisedFloorDesc">#REF!</definedName>
    <definedName name="RaisedFloorSub">#REF!</definedName>
    <definedName name="RANGE1">#REF!</definedName>
    <definedName name="RANGE2">#REF!</definedName>
    <definedName name="RANGE3">#REF!</definedName>
    <definedName name="range4">#REF!</definedName>
    <definedName name="range5">#REF!</definedName>
    <definedName name="Rate">#REF!</definedName>
    <definedName name="rate1">#REF!</definedName>
    <definedName name="rate2">#REF!</definedName>
    <definedName name="RateA1">#REF!</definedName>
    <definedName name="RateA2">#REF!</definedName>
    <definedName name="RateA3">#REF!</definedName>
    <definedName name="RateA4">#REF!</definedName>
    <definedName name="RateA5">#REF!</definedName>
    <definedName name="RateB1">#REF!</definedName>
    <definedName name="RateB2">#REF!</definedName>
    <definedName name="RateB3">#REF!</definedName>
    <definedName name="RateB4">#REF!</definedName>
    <definedName name="RateB5">#REF!</definedName>
    <definedName name="RateCurve">#REF!</definedName>
    <definedName name="RATES">#REF!</definedName>
    <definedName name="Rateset">#REF!</definedName>
    <definedName name="RatesStartDate">#REF!</definedName>
    <definedName name="RCIII">{"ba1",#N/A,TRUE,"B-A";"ba2",#N/A,TRUE,"B-A"}</definedName>
    <definedName name="RCLCo_Products">#REF!</definedName>
    <definedName name="re1_re2_re3">#REF!</definedName>
    <definedName name="re4_sp_l1_l2">#REF!</definedName>
    <definedName name="RealEstateTaxRate">#REF!</definedName>
    <definedName name="Realized_I">#REF!</definedName>
    <definedName name="Realized_I_II_III">#REF!</definedName>
    <definedName name="Realized_II">#REF!</definedName>
    <definedName name="recap_dividend">"Picture 69"</definedName>
    <definedName name="recap_repurchase">"Picture 64"</definedName>
    <definedName name="RECENTLEASES">#REF!</definedName>
    <definedName name="Reconcile">#REF!</definedName>
    <definedName name="_xlnm.Recorder">#REF!</definedName>
    <definedName name="Recoveries">#REF!</definedName>
    <definedName name="RedevelopmentPieceYesNo">#REF!</definedName>
    <definedName name="Reflexology___25_Min.">#REF!</definedName>
    <definedName name="Reflexology___50_Min.">#REF!</definedName>
    <definedName name="Rehab">#REF!</definedName>
    <definedName name="Reiki_Massage">#REF!</definedName>
    <definedName name="Reinforce">#REF!</definedName>
    <definedName name="Rejuvenating_Facial">#REF!</definedName>
    <definedName name="Remaining_term">#REF!</definedName>
    <definedName name="remsum">#REF!</definedName>
    <definedName name="RenovationGSF">#REF!</definedName>
    <definedName name="RenovationPGSF">#REF!</definedName>
    <definedName name="RENT">#REF!</definedName>
    <definedName name="Rent_History">#REF!</definedName>
    <definedName name="Rent_Roll_Hdr">#REF!</definedName>
    <definedName name="Rent_Schedule">#REF!</definedName>
    <definedName name="rent2000">#REF!</definedName>
    <definedName name="rent2001">#REF!</definedName>
    <definedName name="RentAbatement1">#REF!</definedName>
    <definedName name="RentAbatement2">#REF!</definedName>
    <definedName name="RentAbatement3">#REF!</definedName>
    <definedName name="RentAbatementBelowGrade">#REF!</definedName>
    <definedName name="RentableArea">#REF!</definedName>
    <definedName name="RentAdjustmentColumnHeadings">#REF!</definedName>
    <definedName name="RentAdjustmentRowHeadings">#REF!</definedName>
    <definedName name="RentAdjustmentTable">#REF!</definedName>
    <definedName name="rentaldef">#REF!</definedName>
    <definedName name="RentalIncome">#REF!</definedName>
    <definedName name="rentalpros">#REF!</definedName>
    <definedName name="rentalten">#REF!</definedName>
    <definedName name="RentBump1">#REF!</definedName>
    <definedName name="RentBump2">#REF!</definedName>
    <definedName name="RentBump3">#REF!</definedName>
    <definedName name="RentBumpBelowGrade">#REF!</definedName>
    <definedName name="RENTDATA">#REF!</definedName>
    <definedName name="RentEscalation1">#REF!</definedName>
    <definedName name="RentEscalation2">#REF!</definedName>
    <definedName name="RentEscalation3">#REF!</definedName>
    <definedName name="RentEscalationBelowGrade">#REF!</definedName>
    <definedName name="RentEscalationStorage">#REF!</definedName>
    <definedName name="Rentincome">#REF!</definedName>
    <definedName name="RentPerApartmentParkingSpacePerMonth">#REF!</definedName>
    <definedName name="RentPerMonth">#REF!</definedName>
    <definedName name="RentPerSF">#REF!</definedName>
    <definedName name="Rentroll">#REF!</definedName>
    <definedName name="Rentroll_Lookup_Table">#REF!</definedName>
    <definedName name="Rentsup">#REF!</definedName>
    <definedName name="repl_reserve">#REF!</definedName>
    <definedName name="ReplacementCost">#REF!</definedName>
    <definedName name="RepLvl">#REF!</definedName>
    <definedName name="REPORT">#REF!</definedName>
    <definedName name="report1">{#N/A,#N/A,FALSE,"Summary";#N/A,#N/A,FALSE,"Assumptions";#N/A,#N/A,FALSE,"Cash Flow";#N/A,#N/A,FALSE,"Residual Calculation";#N/A,#N/A,FALSE,"Pricing Matrix";#N/A,#N/A,FALSE,"Pricing Matrix II";#N/A,#N/A,FALSE,"Expiration Schedule"}</definedName>
    <definedName name="report5">{#N/A,#N/A,FALSE,"Summary";#N/A,#N/A,FALSE,"Assumptions";#N/A,#N/A,FALSE,"Cash Flow";#N/A,#N/A,FALSE,"Residual Calculation";#N/A,#N/A,FALSE,"Pricing Matrix";#N/A,#N/A,FALSE,"Pricing Matrix II";#N/A,#N/A,FALSE,"Expiration Schedule"}</definedName>
    <definedName name="repositioning_capital">#REF!</definedName>
    <definedName name="RESALE_EXP">#REF!</definedName>
    <definedName name="RESCAP">#REF!</definedName>
    <definedName name="RESEARCH">#REF!</definedName>
    <definedName name="Reserves">#REF!</definedName>
    <definedName name="Reserves_Y_N">#REF!</definedName>
    <definedName name="RESET">#REF!</definedName>
    <definedName name="ResetConvention">#REF!</definedName>
    <definedName name="RESID_FORSALE_HR_EST">#REF!</definedName>
    <definedName name="RESID_FORSALE_HR_OUT">#REF!</definedName>
    <definedName name="Resid_Partic_Source">#REF!</definedName>
    <definedName name="RESID_RENTAL_HR_EST">#REF!</definedName>
    <definedName name="RESID_RENTAL_HR_OUT">#REF!</definedName>
    <definedName name="RESID_RENTAL_LR_EST">#REF!</definedName>
    <definedName name="RESID_RENTAL_LR_OUT">#REF!</definedName>
    <definedName name="RESID_RENTAL_MR_EST">#REF!</definedName>
    <definedName name="RESID_RENTAL_MR_OUT">#REF!</definedName>
    <definedName name="RESIDCAP">#REF!</definedName>
    <definedName name="RESIDENENTIALSF">#REF!</definedName>
    <definedName name="ResidentialSF">#REF!</definedName>
    <definedName name="ResidentialYesNoSwitch">#REF!</definedName>
    <definedName name="residrate">#N/A</definedName>
    <definedName name="residrate2">#N/A</definedName>
    <definedName name="RESIDRATEX">#N/A</definedName>
    <definedName name="residual">#REF!</definedName>
    <definedName name="Residual_10yr">#REF!</definedName>
    <definedName name="Residual_3yr">#REF!</definedName>
    <definedName name="Residual_5yr">#REF!</definedName>
    <definedName name="Residual_7yr">#REF!</definedName>
    <definedName name="Residual_CF_Waterfall_Priority">#REF!</definedName>
    <definedName name="Residual_Debt">#REF!</definedName>
    <definedName name="ResortAct">#REF!</definedName>
    <definedName name="ResortLY">#REF!</definedName>
    <definedName name="ResSalesExp">#REF!</definedName>
    <definedName name="rest2">#REF!</definedName>
    <definedName name="rest2a">#REF!</definedName>
    <definedName name="rest3">#REF!</definedName>
    <definedName name="rest3a">#REF!</definedName>
    <definedName name="rest4">#REF!</definedName>
    <definedName name="rest4a">#REF!</definedName>
    <definedName name="rest6">#REF!</definedName>
    <definedName name="rest61">#REF!</definedName>
    <definedName name="rest9">#REF!</definedName>
    <definedName name="rest9a">#REF!</definedName>
    <definedName name="RESTON">#REF!</definedName>
    <definedName name="RestrictedTCE">#REF!</definedName>
    <definedName name="Retail">#REF!</definedName>
    <definedName name="RETAIL_EST">#REF!</definedName>
    <definedName name="Retail_GLA">#REF!</definedName>
    <definedName name="RETAIL_OUT">#REF!</definedName>
    <definedName name="Retail1Escalation">#REF!</definedName>
    <definedName name="Retail1LeaseCommission">#REF!</definedName>
    <definedName name="Retail1LeaseTerm">#REF!</definedName>
    <definedName name="Retail1RenewalProbability">#REF!</definedName>
    <definedName name="Retail1RentAbatement">#REF!</definedName>
    <definedName name="Retail1RentBump">#REF!</definedName>
    <definedName name="Retail1RentBumpYear">#REF!</definedName>
    <definedName name="Retail1SF">#REF!</definedName>
    <definedName name="Retail1TenantImprovements">#REF!</definedName>
    <definedName name="Retail1VacancyPercentage">#REF!</definedName>
    <definedName name="Retail1VacancyYesNo">#REF!</definedName>
    <definedName name="RetailAboveGradeConstructionCost">#REF!</definedName>
    <definedName name="RetailIncrements">#REF!</definedName>
    <definedName name="RetailNetEffectiveRentFromInputPage">#REF!</definedName>
    <definedName name="RetailParkingIncomeperSpaceperMonth">#REF!</definedName>
    <definedName name="RetailParkingPriceEscalation">#REF!</definedName>
    <definedName name="RetailParkingSF">#REF!</definedName>
    <definedName name="retailresrsf">#REF!</definedName>
    <definedName name="RetailRSF">#REF!</definedName>
    <definedName name="RetailTenant1">#REF!</definedName>
    <definedName name="RetailTenant1DatevsPercentageLeased">#REF!</definedName>
    <definedName name="RetailTenant1LeaseIncrement">#REF!</definedName>
    <definedName name="RetailYesNoSwitch">#REF!</definedName>
    <definedName name="RETIncrease">#REF!</definedName>
    <definedName name="Return_of_Com_P1_Priority">#REF!</definedName>
    <definedName name="Return_of_Com_Partner_Priority">#REF!</definedName>
    <definedName name="Return_of_Pref_P1_Priority">#REF!</definedName>
    <definedName name="Return_of_Pref_Partner_Priority">#REF!</definedName>
    <definedName name="RETURNS">#REF!</definedName>
    <definedName name="RETYR10">#REF!</definedName>
    <definedName name="RETYR8">#REF!</definedName>
    <definedName name="REV">#REF!</definedName>
    <definedName name="rev_inst_equity">#REF!</definedName>
    <definedName name="REV_LEV">#REF!</definedName>
    <definedName name="Reval">#REF!</definedName>
    <definedName name="RevalRatio">#REF!</definedName>
    <definedName name="revdate">#REF!</definedName>
    <definedName name="revenuegrowthrate">#REF!</definedName>
    <definedName name="rever_other_exp">#REF!</definedName>
    <definedName name="rever_reserve">#REF!</definedName>
    <definedName name="reversion">#REF!</definedName>
    <definedName name="ReversionDate">#REF!</definedName>
    <definedName name="REVISEDMERCH">#REF!</definedName>
    <definedName name="REVISEDTOTAL">#REF!</definedName>
    <definedName name="REVISION___1">#REF!</definedName>
    <definedName name="Revitaliz_Energiz_Facial">#REF!</definedName>
    <definedName name="Revive_Body_Wrap">#REF!</definedName>
    <definedName name="RID">#REF!</definedName>
    <definedName name="Rinse_Out">#REF!</definedName>
    <definedName name="riprint">#REF!</definedName>
    <definedName name="RiskAutoStopPercChange">1.5</definedName>
    <definedName name="RiskCollectDistributionSamples">2</definedName>
    <definedName name="RiskExcelReportsGoInNewWorkbook">FALSE</definedName>
    <definedName name="RiskExcelReportsToGenerate">6407</definedName>
    <definedName name="RiskFixedSeed">1</definedName>
    <definedName name="RiskGenerateExcelReportsAtEndOfSimulation">TRUE</definedName>
    <definedName name="RiskHasSettings">TRUE</definedName>
    <definedName name="RiskMinimizeOnStart">FALSE</definedName>
    <definedName name="RiskMonitorConvergence">FALSE</definedName>
    <definedName name="RiskNumIterations">1000</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TRUE</definedName>
    <definedName name="RiskStandardRecalc">1</definedName>
    <definedName name="RiskTemplateSheetName">"myTemplate"</definedName>
    <definedName name="RiskUpdateDisplay">FALSE</definedName>
    <definedName name="RiskUseDifferentSeedForEachSim">FALSE</definedName>
    <definedName name="RiskUseFixedSeed">FALSE</definedName>
    <definedName name="RiskUseMultipleCPUs">FALSE</definedName>
    <definedName name="RLAINPUT_DebtLoan1CapEx">#REF!</definedName>
    <definedName name="RLAINPUT_DebtLoan1FixedPIPayment">#REF!</definedName>
    <definedName name="RLAINPUT_DebtLoan1Funding">#REF!,#REF!,#REF!</definedName>
    <definedName name="RLAINPUT_DebtLoan1Gen1">#REF!</definedName>
    <definedName name="RLAINPUT_DebtLoan1Gen2">#REF!</definedName>
    <definedName name="RLAINPUT_DebtLoan1Payment">#REF!</definedName>
    <definedName name="RLAINPUT_DebtLoan2CapEx">#REF!</definedName>
    <definedName name="RLAINPUT_DebtLoan2FixedPIPayment">#REF!</definedName>
    <definedName name="RLAINPUT_DebtLoan2Funding">#REF!,#REF!,#REF!</definedName>
    <definedName name="RLAINPUT_DebtLoan2Gen1">#REF!</definedName>
    <definedName name="RLAINPUT_DebtLoan2Gen2">#REF!</definedName>
    <definedName name="RLAINPUT_DebtLoan2Payment">#REF!</definedName>
    <definedName name="RLAINPUT_DebtLoan3CapEx">#REF!</definedName>
    <definedName name="RLAINPUT_DebtLoan3FixedPIPayment">#REF!</definedName>
    <definedName name="RLAINPUT_DebtLoan3Funding">#REF!,#REF!,#REF!</definedName>
    <definedName name="RLAINPUT_DebtLoan3Gen1">#REF!</definedName>
    <definedName name="RLAINPUT_DebtLoan3Gen2">#REF!</definedName>
    <definedName name="RLAINPUT_DebtLoan3Payment">#REF!</definedName>
    <definedName name="RLAINPUT_DebtRateIndex">#REF!</definedName>
    <definedName name="RLAINPUT_EquityCatchUp1">#REF!,#REF!</definedName>
    <definedName name="RLAINPUT_EquityCatchUp2">#REF!,#REF!</definedName>
    <definedName name="RLAINPUT_EquityCatchUp3">#REF!,#REF!</definedName>
    <definedName name="RLAINPUT_EquityInputs">#REF!,#REF!,#REF!</definedName>
    <definedName name="RLAINPUT_EquityPartnerNames">#REF!,#REF!</definedName>
    <definedName name="RLAINPUT_EquityPercent" localSheetId="11">#REF!</definedName>
    <definedName name="RLAINPUT_EquityPercent">#REF!</definedName>
    <definedName name="RLAINPUT_EquityRemainder">#REF!,#REF!</definedName>
    <definedName name="RLAINPUT_EquityTier1">#REF!,#REF!</definedName>
    <definedName name="RLAINPUT_EquityTier2">#REF!,#REF!,#REF!</definedName>
    <definedName name="RLAINPUT_EquityTier3">#REF!,#REF!,#REF!</definedName>
    <definedName name="RLAINPUT_ExecSumYears" localSheetId="11">#REF!</definedName>
    <definedName name="RLAINPUT_ExecSumYears">#REF!</definedName>
    <definedName name="RLAINPUT_InPlaceRecovery" localSheetId="11">#REF!</definedName>
    <definedName name="RLAINPUT_InPlaceRecovery">#REF!</definedName>
    <definedName name="RLAINPUT_InputDisp" localSheetId="11">#REF!</definedName>
    <definedName name="RLAINPUT_InputDisp">#REF!</definedName>
    <definedName name="RLAINPUT_Inputs" localSheetId="11">#REF!</definedName>
    <definedName name="RLAINPUT_Inputs">#REF!</definedName>
    <definedName name="RLAINPUT_Loan3Refi">#REF!,#REF!,#REF!</definedName>
    <definedName name="rmcondo">#REF!</definedName>
    <definedName name="rmcondo1">#REF!</definedName>
    <definedName name="RMSTATS">#REF!</definedName>
    <definedName name="rmsvc">#REF!</definedName>
    <definedName name="rmsvca">#REF!</definedName>
    <definedName name="rngCO_Statuses" localSheetId="5">#REF!</definedName>
    <definedName name="rngCO_Statuses" localSheetId="4">#REF!</definedName>
    <definedName name="rngCO_Statuses">#REF!</definedName>
    <definedName name="rngCommitmentTypes" localSheetId="5">tblLookups[ForecastType]</definedName>
    <definedName name="rngCommitmentTypes" localSheetId="4">tblLookups[ForecastType]</definedName>
    <definedName name="rngCommitmentTypes">tblLookups[ForecastType]</definedName>
    <definedName name="rngCostCodes" localSheetId="5">tblCostCodes[CostCode]</definedName>
    <definedName name="rngCostCodes" localSheetId="4">tblCostCodes[CostCode]</definedName>
    <definedName name="rngCostCodes">tblCostCodes[CostCode]</definedName>
    <definedName name="rngJobStatuses" localSheetId="5">tblLookups[JobStatus]</definedName>
    <definedName name="rngJobStatuses" localSheetId="4">tblLookups[JobStatus]</definedName>
    <definedName name="rngJobStatuses">tblLookups[JobStatus]</definedName>
    <definedName name="rngJobTypes" localSheetId="5">tblLookups[JobType]</definedName>
    <definedName name="rngJobTypes" localSheetId="4">tblLookups[JobType]</definedName>
    <definedName name="rngJobTypes">tblLookups[JobType]</definedName>
    <definedName name="rngProperties" localSheetId="5">tblProperties[PropertyCode]</definedName>
    <definedName name="rngProperties" localSheetId="4">tblProperties[PropertyCode]</definedName>
    <definedName name="rngProperties">tblProperties[PropertyCode]</definedName>
    <definedName name="rngVendors" localSheetId="5">tblVendors[VendorCode]</definedName>
    <definedName name="rngVendors" localSheetId="4">tblVendors[VendorCode]</definedName>
    <definedName name="rngVendors">tblVendors[VendorCode]</definedName>
    <definedName name="RNRSF">#REF!</definedName>
    <definedName name="Rnt_Lse">#REF!</definedName>
    <definedName name="Rnt_Mkt">#REF!</definedName>
    <definedName name="Rnt_Unit_Mo">#REF!</definedName>
    <definedName name="Rnt_Var">#REF!</definedName>
    <definedName name="RoC">#REF!</definedName>
    <definedName name="Roller_Set">#REF!</definedName>
    <definedName name="Roof_Repairs_Reserve">#REF!</definedName>
    <definedName name="Roofing">#REF!</definedName>
    <definedName name="Rooms">#REF!</definedName>
    <definedName name="rooms_2">#REF!</definedName>
    <definedName name="roomservice">#REF!</definedName>
    <definedName name="ROOMVALUE">#REF!</definedName>
    <definedName name="ROSEWELL">#REF!</definedName>
    <definedName name="ROSSLYN_BALLSTO">#REF!</definedName>
    <definedName name="Round">#REF!</definedName>
    <definedName name="rounds">#REF!</definedName>
    <definedName name="Row">#REF!</definedName>
    <definedName name="ROW_1">#REF!</definedName>
    <definedName name="ROW_2">#REF!</definedName>
    <definedName name="RP">#REF!</definedName>
    <definedName name="rpc_equity">#REF!</definedName>
    <definedName name="rpc_equity2">#REF!</definedName>
    <definedName name="rpc_rev_equity">#REF!</definedName>
    <definedName name="RPCCFYr1">#REF!</definedName>
    <definedName name="RPCCFYr10">#REF!</definedName>
    <definedName name="RPCCFYr2">#REF!</definedName>
    <definedName name="RPCCFYr3">#REF!</definedName>
    <definedName name="RPCCFYr4">#REF!</definedName>
    <definedName name="RPCCFYr5">#REF!</definedName>
    <definedName name="RPCCFYr6">#REF!</definedName>
    <definedName name="RPCCFYr7">#REF!</definedName>
    <definedName name="RPCCFYr8">#REF!</definedName>
    <definedName name="RPCCFYr9">#REF!</definedName>
    <definedName name="RPCNSPYr1">#REF!</definedName>
    <definedName name="RPCNSPYr10">#REF!</definedName>
    <definedName name="RPEquity">#REF!</definedName>
    <definedName name="Rpt_Rqst_Dscr">#REF!</definedName>
    <definedName name="RR">#REF!</definedName>
    <definedName name="RR_Date">#REF!</definedName>
    <definedName name="RRoll_Data">#REF!</definedName>
    <definedName name="RRoll_Vac_Calc">#REF!</definedName>
    <definedName name="RRoll_Vac_Data">#REF!</definedName>
    <definedName name="RSF">#REF!</definedName>
    <definedName name="rsfrow">#REF!</definedName>
    <definedName name="rsh">#REF!</definedName>
    <definedName name="rshh">#REF!</definedName>
    <definedName name="rshh1">#REF!</definedName>
    <definedName name="rsm">#REF!</definedName>
    <definedName name="rsmh">#REF!</definedName>
    <definedName name="rsmh1">#REF!</definedName>
    <definedName name="rst1a">#REF!</definedName>
    <definedName name="rst2a">#REF!</definedName>
    <definedName name="rst3a">#REF!</definedName>
    <definedName name="rst4a">#REF!</definedName>
    <definedName name="rst6h1">#REF!</definedName>
    <definedName name="rst6hh1">#REF!</definedName>
    <definedName name="rst6m1">#REF!</definedName>
    <definedName name="rst6mh1">#REF!</definedName>
    <definedName name="rt1_rt2">#REF!</definedName>
    <definedName name="rt1_rt2_1">#REF!</definedName>
    <definedName name="rt1h">#REF!</definedName>
    <definedName name="rt1h1">#REF!</definedName>
    <definedName name="rt1hh">#REF!</definedName>
    <definedName name="rt1hh1">#REF!</definedName>
    <definedName name="rt1m">#REF!</definedName>
    <definedName name="rt1m1">#REF!</definedName>
    <definedName name="rt1mh">#REF!</definedName>
    <definedName name="rt1mh1">#REF!</definedName>
    <definedName name="rt2h">#REF!</definedName>
    <definedName name="rt2h1">#REF!</definedName>
    <definedName name="rt2hh">#REF!</definedName>
    <definedName name="rt2hh1">#REF!</definedName>
    <definedName name="rt2m">#REF!</definedName>
    <definedName name="rt2m1">#REF!</definedName>
    <definedName name="rt2mh">#REF!</definedName>
    <definedName name="rt2mh1">#REF!</definedName>
    <definedName name="rt3_rt4">#REF!</definedName>
    <definedName name="rt3_rt4_1">#REF!</definedName>
    <definedName name="rt3h">#REF!</definedName>
    <definedName name="rt3h1">#REF!</definedName>
    <definedName name="rt3hh">#REF!</definedName>
    <definedName name="rt3hh1">#REF!</definedName>
    <definedName name="rt3m">#REF!</definedName>
    <definedName name="rt3m1">#REF!</definedName>
    <definedName name="rt3mh">#REF!</definedName>
    <definedName name="rt3mh1">#REF!</definedName>
    <definedName name="rt4h">#REF!</definedName>
    <definedName name="rt4h1">#REF!</definedName>
    <definedName name="rt4hh">#REF!</definedName>
    <definedName name="rt4hh1">#REF!</definedName>
    <definedName name="rt4m">#REF!</definedName>
    <definedName name="rt4m1">#REF!</definedName>
    <definedName name="rt4mh">#REF!</definedName>
    <definedName name="rt4mh1">#REF!</definedName>
    <definedName name="run">#REF!</definedName>
    <definedName name="Run_Dt">#REF!</definedName>
    <definedName name="run_tm">#REF!</definedName>
    <definedName name="Rwvu.ALL.">#REF!,#REF!</definedName>
    <definedName name="Rwvu.CAM._.RECOVERIES.">#REF!,#REF!,#REF!</definedName>
    <definedName name="Rwvu.CAM._.TABLE.">#REF!,#REF!,#REF!</definedName>
    <definedName name="Rwvu.INSURANCE._.RECOVERIES.">#REF!,#REF!,#REF!,#REF!</definedName>
    <definedName name="Rwvu.MINIMUM._.RENT.">#REF!,#REF!</definedName>
    <definedName name="Rwvu.OCCUPANCY._.ANALYSIS.">#REF!,#REF!,#REF!</definedName>
    <definedName name="Rwvu.PERCENTAGE._.RENT.">#REF!,#REF!,#REF!</definedName>
    <definedName name="Rwvu.TAX._.RECOVERIES.">#REF!,#REF!,#REF!,#REF!</definedName>
    <definedName name="Rwvu.WAT.">#REF!</definedName>
    <definedName name="s">{"'Expirations'!$A$1:$L$65"}</definedName>
    <definedName name="saa">{"rtn",#N/A,FALSE,"RTN";"tables",#N/A,FALSE,"RTN";"cf",#N/A,FALSE,"CF";"stats",#N/A,FALSE,"Stats";"prop",#N/A,FALSE,"Prop"}</definedName>
    <definedName name="sadfn">#REF!</definedName>
    <definedName name="sadsadsa">{"'Assump'!$F$6:$J$6"}</definedName>
    <definedName name="Salaries">#REF!</definedName>
    <definedName name="SALE_CAP">#REF!</definedName>
    <definedName name="SALE_YEAR">#REF!</definedName>
    <definedName name="salecost">#REF!</definedName>
    <definedName name="SALECOSTS">#N/A</definedName>
    <definedName name="Sales_Commission">#REF!</definedName>
    <definedName name="sales_costs">#REF!</definedName>
    <definedName name="Sales_Proceeds">#REF!</definedName>
    <definedName name="SalesAnalysis">#REF!</definedName>
    <definedName name="SalesCap">#REF!</definedName>
    <definedName name="SalesCapTable">#REF!,#REF!,#REF!</definedName>
    <definedName name="SalesCost">#REF!</definedName>
    <definedName name="saleyear">#REF!</definedName>
    <definedName name="Salt_Glo">#REF!</definedName>
    <definedName name="Sample1">#REF!</definedName>
    <definedName name="sandra">{#N/A,#N/A,FALSE,"RENT ROLL"}</definedName>
    <definedName name="sas">{"Outflow 1",#N/A,FALSE,"Outflows-Inflows";"Outflow 2",#N/A,FALSE,"Outflows-Inflows";"Inflow 1",#N/A,FALSE,"Outflows-Inflows";"Inflow 2",#N/A,FALSE,"Outflows-Inflows"}</definedName>
    <definedName name="SC">#REF!</definedName>
    <definedName name="Scen_In_Use">#REF!</definedName>
    <definedName name="Scenario">#REF!</definedName>
    <definedName name="Scenario_Switch">#REF!</definedName>
    <definedName name="ScenarioAnalysisData">#REF!</definedName>
    <definedName name="ScenarioNumber">#REF!</definedName>
    <definedName name="Sched_Pay">#REF!</definedName>
    <definedName name="SchedStrike1">#REF!</definedName>
    <definedName name="SchedStrike2">#REF!</definedName>
    <definedName name="Scheduled_Extra_Payments">#REF!</definedName>
    <definedName name="Scheduled_Interest_Rate">#REF!</definedName>
    <definedName name="Scheduled_Monthly_Payment">#REF!</definedName>
    <definedName name="ScheduleDayCount">#REF!</definedName>
    <definedName name="ScheduleEffective">#REF!</definedName>
    <definedName name="ScheduleMaturity">#REF!</definedName>
    <definedName name="ScheduleNotional">#REF!</definedName>
    <definedName name="SchedulePayFreq">#REF!</definedName>
    <definedName name="SCM_IRR_ROW">#REF!</definedName>
    <definedName name="SCM_Priorty_Sale_Distribution">#REF!</definedName>
    <definedName name="scm_rec">#REF!</definedName>
    <definedName name="Scott_Child_Hair_Cut">#REF!</definedName>
    <definedName name="Scott_color">#REF!</definedName>
    <definedName name="Scott_Comb_Out">#REF!</definedName>
    <definedName name="Scott_Highlights">#REF!</definedName>
    <definedName name="Scott_Mens_Cut_Only">#REF!</definedName>
    <definedName name="Scott_Mini_Rene">#REF!</definedName>
    <definedName name="Scott_Perm_Wave">#REF!</definedName>
    <definedName name="Scott_Shampoo__long">#REF!</definedName>
    <definedName name="Scott_Shampoo_Blow">#REF!</definedName>
    <definedName name="Scott_Shampoo_Set">#REF!</definedName>
    <definedName name="Scott_Women_Cut_Blow">#REF!</definedName>
    <definedName name="Scott_Women_Cut_Only">#REF!</definedName>
    <definedName name="Scott_Womens_Up_Do">#REF!</definedName>
    <definedName name="SD">#REF!</definedName>
    <definedName name="SD10A">#REF!</definedName>
    <definedName name="SD10B">#REF!</definedName>
    <definedName name="SD10C">#REF!</definedName>
    <definedName name="SD10D">#REF!</definedName>
    <definedName name="SD10E">#REF!</definedName>
    <definedName name="SD10F">#REF!</definedName>
    <definedName name="SD10G">#REF!</definedName>
    <definedName name="SD10H">#REF!</definedName>
    <definedName name="SD10J">#REF!</definedName>
    <definedName name="SD10K">#REF!</definedName>
    <definedName name="SD11A">#REF!</definedName>
    <definedName name="SD11B">#REF!</definedName>
    <definedName name="SD11C">#REF!</definedName>
    <definedName name="SD11D">#REF!</definedName>
    <definedName name="SD11E">#REF!</definedName>
    <definedName name="SD11F">#REF!</definedName>
    <definedName name="SD11G">#REF!</definedName>
    <definedName name="SD11H">#REF!</definedName>
    <definedName name="SD11J">#REF!</definedName>
    <definedName name="SD11K">#REF!</definedName>
    <definedName name="SD12A">#REF!</definedName>
    <definedName name="SD12B">#REF!</definedName>
    <definedName name="SD12C">#REF!</definedName>
    <definedName name="SD12D">#REF!</definedName>
    <definedName name="SD12E">#REF!</definedName>
    <definedName name="SD12F">#REF!</definedName>
    <definedName name="SD12G">#REF!</definedName>
    <definedName name="SD12H">#REF!</definedName>
    <definedName name="SD12J">#REF!</definedName>
    <definedName name="SD12K">#REF!</definedName>
    <definedName name="SD13A">#REF!</definedName>
    <definedName name="SD13B">#REF!</definedName>
    <definedName name="SD13C">#REF!</definedName>
    <definedName name="SD13D">#REF!</definedName>
    <definedName name="SD13E">#REF!</definedName>
    <definedName name="SD13F">#REF!</definedName>
    <definedName name="SD13G">#REF!</definedName>
    <definedName name="SD13H">#REF!</definedName>
    <definedName name="SD13J">#REF!</definedName>
    <definedName name="SD13K">#REF!</definedName>
    <definedName name="SD14A">#REF!</definedName>
    <definedName name="SD14B">#REF!</definedName>
    <definedName name="SD14C">#REF!</definedName>
    <definedName name="SD14D">#REF!</definedName>
    <definedName name="SD14E">#REF!</definedName>
    <definedName name="SD14F">#REF!</definedName>
    <definedName name="SD14G">#REF!</definedName>
    <definedName name="SD14H">#REF!</definedName>
    <definedName name="SD14J">#REF!</definedName>
    <definedName name="SD14K">#REF!</definedName>
    <definedName name="SD15A">#REF!</definedName>
    <definedName name="SD15B">#REF!</definedName>
    <definedName name="SD15C">#REF!</definedName>
    <definedName name="SD15D">#REF!</definedName>
    <definedName name="SD15E">#REF!</definedName>
    <definedName name="SD15F">#REF!</definedName>
    <definedName name="SD15G">#REF!</definedName>
    <definedName name="SD15H">#REF!</definedName>
    <definedName name="SD15J">#REF!</definedName>
    <definedName name="SD15K">#REF!</definedName>
    <definedName name="SD16A">#REF!</definedName>
    <definedName name="SD16B">#REF!</definedName>
    <definedName name="SD16C">#REF!</definedName>
    <definedName name="SD16D">#REF!</definedName>
    <definedName name="SD16E">#REF!</definedName>
    <definedName name="SD16F">#REF!</definedName>
    <definedName name="SD16G">#REF!</definedName>
    <definedName name="SD16H">#REF!</definedName>
    <definedName name="SD16J">#REF!</definedName>
    <definedName name="SD16K">#REF!</definedName>
    <definedName name="SD17A">#REF!</definedName>
    <definedName name="SD17B">#REF!</definedName>
    <definedName name="SD17C">#REF!</definedName>
    <definedName name="SD17D">#REF!</definedName>
    <definedName name="SD17E">#REF!</definedName>
    <definedName name="SD17F">#REF!</definedName>
    <definedName name="SD17G">#REF!</definedName>
    <definedName name="SD17H">#REF!</definedName>
    <definedName name="SD17J">#REF!</definedName>
    <definedName name="SD17K">#REF!</definedName>
    <definedName name="SD18A">#REF!</definedName>
    <definedName name="SD18B">#REF!</definedName>
    <definedName name="SD18C">#REF!</definedName>
    <definedName name="SD18D">#REF!</definedName>
    <definedName name="SD18E">#REF!</definedName>
    <definedName name="SD18F">#REF!</definedName>
    <definedName name="SD18G">#REF!</definedName>
    <definedName name="SD18H">#REF!</definedName>
    <definedName name="SD18J">#REF!</definedName>
    <definedName name="SD18K">#REF!</definedName>
    <definedName name="SD19A">#REF!</definedName>
    <definedName name="SD19B">#REF!</definedName>
    <definedName name="SD19C">#REF!</definedName>
    <definedName name="SD19D">#REF!</definedName>
    <definedName name="SD19E">#REF!</definedName>
    <definedName name="SD19F">#REF!</definedName>
    <definedName name="SD19G">#REF!</definedName>
    <definedName name="SD19H">#REF!</definedName>
    <definedName name="SD19J">#REF!</definedName>
    <definedName name="SD19K">#REF!</definedName>
    <definedName name="SD20A">#REF!</definedName>
    <definedName name="SD20B">#REF!</definedName>
    <definedName name="SD20C">#REF!</definedName>
    <definedName name="SD20D">#REF!</definedName>
    <definedName name="SD20E">#REF!</definedName>
    <definedName name="SD20F">#REF!</definedName>
    <definedName name="SD20G">#REF!</definedName>
    <definedName name="SD20H">#REF!</definedName>
    <definedName name="SD20J">#REF!</definedName>
    <definedName name="SD20K">#REF!</definedName>
    <definedName name="SD21A">#REF!</definedName>
    <definedName name="SD21B">#REF!</definedName>
    <definedName name="SD21C">#REF!</definedName>
    <definedName name="SD21D">#REF!</definedName>
    <definedName name="SD21E">#REF!</definedName>
    <definedName name="SD21F">#REF!</definedName>
    <definedName name="SD21G">#REF!</definedName>
    <definedName name="SD21H">#REF!</definedName>
    <definedName name="SD21J">#REF!</definedName>
    <definedName name="SD21K">#REF!</definedName>
    <definedName name="SD22A">#REF!</definedName>
    <definedName name="SD22B">#REF!</definedName>
    <definedName name="SD22C">#REF!</definedName>
    <definedName name="SD22D">#REF!</definedName>
    <definedName name="SD22E">#REF!</definedName>
    <definedName name="SD22F">#REF!</definedName>
    <definedName name="SD22G">#REF!</definedName>
    <definedName name="SD22H">#REF!</definedName>
    <definedName name="SD22J">#REF!</definedName>
    <definedName name="SD22K">#REF!</definedName>
    <definedName name="SD23A">#REF!</definedName>
    <definedName name="SD23B">#REF!</definedName>
    <definedName name="SD23C">#REF!</definedName>
    <definedName name="SD23D">#REF!</definedName>
    <definedName name="SD23E">#REF!</definedName>
    <definedName name="SD23F">#REF!</definedName>
    <definedName name="SD23G">#REF!</definedName>
    <definedName name="SD23H">#REF!</definedName>
    <definedName name="SD23J">#REF!</definedName>
    <definedName name="SD23K">#REF!</definedName>
    <definedName name="SD24A">#REF!</definedName>
    <definedName name="SD24B">#REF!</definedName>
    <definedName name="SD24C">#REF!</definedName>
    <definedName name="SD24D">#REF!</definedName>
    <definedName name="SD24E">#REF!</definedName>
    <definedName name="SD24F">#REF!</definedName>
    <definedName name="SD24G">#REF!</definedName>
    <definedName name="SD24H">#REF!</definedName>
    <definedName name="SD24J">#REF!</definedName>
    <definedName name="SD24K">#REF!</definedName>
    <definedName name="SD25A">#REF!</definedName>
    <definedName name="SD25B">#REF!</definedName>
    <definedName name="SD25C">#REF!</definedName>
    <definedName name="SD25D">#REF!</definedName>
    <definedName name="SD25E">#REF!</definedName>
    <definedName name="SD25F">#REF!</definedName>
    <definedName name="SD25G">#REF!</definedName>
    <definedName name="SD25H">#REF!</definedName>
    <definedName name="SD25J">#REF!</definedName>
    <definedName name="SD25K">#REF!</definedName>
    <definedName name="SD26A">#REF!</definedName>
    <definedName name="SD26B">#REF!</definedName>
    <definedName name="SD26C">#REF!</definedName>
    <definedName name="SD26D">#REF!</definedName>
    <definedName name="SD26E">#REF!</definedName>
    <definedName name="SD26F">#REF!</definedName>
    <definedName name="SD26G">#REF!</definedName>
    <definedName name="SD26H">#REF!</definedName>
    <definedName name="SD26J">#REF!</definedName>
    <definedName name="SD26K">#REF!</definedName>
    <definedName name="SD27A">#REF!</definedName>
    <definedName name="SD27B">#REF!</definedName>
    <definedName name="SD27C">#REF!</definedName>
    <definedName name="SD27D">#REF!</definedName>
    <definedName name="SD27E">#REF!</definedName>
    <definedName name="SD27F">#REF!</definedName>
    <definedName name="SD27G">#REF!</definedName>
    <definedName name="SD27H">#REF!</definedName>
    <definedName name="SD27J">#REF!</definedName>
    <definedName name="SD27K">#REF!</definedName>
    <definedName name="SD28A">#REF!</definedName>
    <definedName name="SD28B">#REF!</definedName>
    <definedName name="SD28C">#REF!</definedName>
    <definedName name="SD28D">#REF!</definedName>
    <definedName name="SD28E">#REF!</definedName>
    <definedName name="SD28F">#REF!</definedName>
    <definedName name="SD28G">#REF!</definedName>
    <definedName name="SD28H">#REF!</definedName>
    <definedName name="SD28J">#REF!</definedName>
    <definedName name="SD28K">#REF!</definedName>
    <definedName name="SD29A">#REF!</definedName>
    <definedName name="SD29B">#REF!</definedName>
    <definedName name="SD29C">#REF!</definedName>
    <definedName name="SD29D">#REF!</definedName>
    <definedName name="SD29E">#REF!</definedName>
    <definedName name="SD29F">#REF!</definedName>
    <definedName name="SD29G">#REF!</definedName>
    <definedName name="SD29H">#REF!</definedName>
    <definedName name="SD29J">#REF!</definedName>
    <definedName name="SD29K">#REF!</definedName>
    <definedName name="SD2A">#REF!</definedName>
    <definedName name="SD2B">#REF!</definedName>
    <definedName name="SD2C">#REF!</definedName>
    <definedName name="SD2D">#REF!</definedName>
    <definedName name="SD2E">#REF!</definedName>
    <definedName name="SD2F">#REF!</definedName>
    <definedName name="SD2G">#REF!</definedName>
    <definedName name="SD2H">#REF!</definedName>
    <definedName name="SD2J">#REF!</definedName>
    <definedName name="SD2K">#REF!</definedName>
    <definedName name="SD3A">#REF!</definedName>
    <definedName name="SD3B">#REF!</definedName>
    <definedName name="SD3C">#REF!</definedName>
    <definedName name="SD3D">#REF!</definedName>
    <definedName name="SD3E">#REF!</definedName>
    <definedName name="SD3F">#REF!</definedName>
    <definedName name="SD3G">#REF!</definedName>
    <definedName name="SD3H">#REF!</definedName>
    <definedName name="SD3J">#REF!</definedName>
    <definedName name="SD3K">#REF!</definedName>
    <definedName name="SD4A">#REF!</definedName>
    <definedName name="SD4B">#REF!</definedName>
    <definedName name="SD4C">#REF!</definedName>
    <definedName name="SD4D">#REF!</definedName>
    <definedName name="SD4E">#REF!</definedName>
    <definedName name="SD4F">#REF!</definedName>
    <definedName name="SD4G">#REF!</definedName>
    <definedName name="SD4H">#REF!</definedName>
    <definedName name="SD4J">#REF!</definedName>
    <definedName name="SD4K">#REF!</definedName>
    <definedName name="SD5A">#REF!</definedName>
    <definedName name="SD5B">#REF!</definedName>
    <definedName name="SD5C">#REF!</definedName>
    <definedName name="SD5D">#REF!</definedName>
    <definedName name="SD5E">#REF!</definedName>
    <definedName name="SD5F">#REF!</definedName>
    <definedName name="SD5G">#REF!</definedName>
    <definedName name="SD5H">#REF!</definedName>
    <definedName name="SD5J">#REF!</definedName>
    <definedName name="SD5K">#REF!</definedName>
    <definedName name="SD6A">#REF!</definedName>
    <definedName name="SD6B">#REF!</definedName>
    <definedName name="SD6C">#REF!</definedName>
    <definedName name="SD6D">#REF!</definedName>
    <definedName name="SD6E">#REF!</definedName>
    <definedName name="SD6F">#REF!</definedName>
    <definedName name="SD6G">#REF!</definedName>
    <definedName name="SD6H">#REF!</definedName>
    <definedName name="SD6J">#REF!</definedName>
    <definedName name="SD6K">#REF!</definedName>
    <definedName name="SD7A">#REF!</definedName>
    <definedName name="SD7B">#REF!</definedName>
    <definedName name="SD7C">#REF!</definedName>
    <definedName name="SD7D">#REF!</definedName>
    <definedName name="SD7E">#REF!</definedName>
    <definedName name="SD7F">#REF!</definedName>
    <definedName name="SD7G">#REF!</definedName>
    <definedName name="SD7H">#REF!</definedName>
    <definedName name="SD7J">#REF!</definedName>
    <definedName name="SD7K">#REF!</definedName>
    <definedName name="SD8A">#REF!</definedName>
    <definedName name="SD8B">#REF!</definedName>
    <definedName name="SD8C">#REF!</definedName>
    <definedName name="SD8D">#REF!</definedName>
    <definedName name="SD8E">#REF!</definedName>
    <definedName name="SD8F">#REF!</definedName>
    <definedName name="SD8G">#REF!</definedName>
    <definedName name="SD8H">#REF!</definedName>
    <definedName name="SD8J">#REF!</definedName>
    <definedName name="SD8K">#REF!</definedName>
    <definedName name="SD9A">#REF!</definedName>
    <definedName name="SD9B">#REF!</definedName>
    <definedName name="SD9C">#REF!</definedName>
    <definedName name="SD9D">#REF!</definedName>
    <definedName name="SD9E">#REF!</definedName>
    <definedName name="SD9F">#REF!</definedName>
    <definedName name="SD9G">#REF!</definedName>
    <definedName name="SD9H">#REF!</definedName>
    <definedName name="SD9J">#REF!</definedName>
    <definedName name="SD9K">#REF!</definedName>
    <definedName name="SDBORDER">#REF!</definedName>
    <definedName name="SDCD">#REF!</definedName>
    <definedName name="SDCDBORDER">#REF!</definedName>
    <definedName name="SDCDCK">#REF!</definedName>
    <definedName name="SDCDERASE">#REF!</definedName>
    <definedName name="SDCDGL">#REF!</definedName>
    <definedName name="sdcdheader">#REF!</definedName>
    <definedName name="sdcds">{"'Assump'!$F$6:$J$6"}</definedName>
    <definedName name="SDCDTOTAL">#REF!</definedName>
    <definedName name="SDCR">#REF!</definedName>
    <definedName name="SDCRBORDER">#REF!</definedName>
    <definedName name="SDCRERASE">#REF!</definedName>
    <definedName name="SDCRGL">#REF!</definedName>
    <definedName name="sdcrheader">#REF!</definedName>
    <definedName name="SDCRTOTAL">#REF!</definedName>
    <definedName name="sddd">#REF!</definedName>
    <definedName name="sdfass">{"Outflow 1",#N/A,FALSE,"Outflows-Inflows";"Outflow 2",#N/A,FALSE,"Outflows-Inflows";"Inflow 1",#N/A,FALSE,"Outflows-Inflows";"Inflow 2",#N/A,FALSE,"Outflows-Inflows"}</definedName>
    <definedName name="sdheader">#REF!</definedName>
    <definedName name="SDLEASE1">#REF!</definedName>
    <definedName name="SDLEASE2">#REF!</definedName>
    <definedName name="SDRESBALDUE">#REF!</definedName>
    <definedName name="SDRESDEPBEG">#REF!</definedName>
    <definedName name="SDRESDEPEND">#REF!</definedName>
    <definedName name="SDRESMONTHEND">#REF!</definedName>
    <definedName name="SDRESPRIOR">#REF!</definedName>
    <definedName name="SDRETBALDUE">#REF!</definedName>
    <definedName name="SDRETDEPBEG">#REF!</definedName>
    <definedName name="SDRETDEPEND">#REF!</definedName>
    <definedName name="SDRETMONTHEND">#REF!</definedName>
    <definedName name="SDRETPRIOR">#REF!</definedName>
    <definedName name="Sea_Stone_Facial">#REF!</definedName>
    <definedName name="Seaweed_Body_Glow">#REF!</definedName>
    <definedName name="Security_Parking_Gates">#REF!</definedName>
    <definedName name="SEKUSD">#REF!</definedName>
    <definedName name="Selected_Currency">#REF!</definedName>
    <definedName name="SelectedFrequency">#REF!</definedName>
    <definedName name="SelectedGroup">#REF!</definedName>
    <definedName name="SelectedIndex">#REF!</definedName>
    <definedName name="SelectedMonth">#REF!</definedName>
    <definedName name="SELLCOST">#REF!</definedName>
    <definedName name="Seller">#REF!</definedName>
    <definedName name="SellExp">#REF!+#REF!</definedName>
    <definedName name="sencount">1</definedName>
    <definedName name="SeniorHousing">#REF!</definedName>
    <definedName name="SENS1">#REF!</definedName>
    <definedName name="SENS2">#REF!</definedName>
    <definedName name="SENS3">#REF!</definedName>
    <definedName name="SENSD1">#REF!</definedName>
    <definedName name="SENSD2">#REF!</definedName>
    <definedName name="SENSD3">#REF!</definedName>
    <definedName name="SENSITIVITIES">#REF!</definedName>
    <definedName name="SENSITIVITY">#REF!</definedName>
    <definedName name="SEP00">#REF!</definedName>
    <definedName name="SETUP">#REF!</definedName>
    <definedName name="seven">#REF!</definedName>
    <definedName name="SF">#REF!</definedName>
    <definedName name="sfd">#REF!</definedName>
    <definedName name="SFOfficeandRetail">TotalOfficeRSF+TotalRetailRSF</definedName>
    <definedName name="sgfs">#REF!</definedName>
    <definedName name="Shampoo_Blow_Long">#REF!</definedName>
    <definedName name="Shampoo_Blow_Regular">#REF!</definedName>
    <definedName name="Shampoo_only">#REF!</definedName>
    <definedName name="sheettodelete">#REF!</definedName>
    <definedName name="Shiatsu___50_Min.">#REF!</definedName>
    <definedName name="Shiatsu___75_Min.">#REF!</definedName>
    <definedName name="Shortfall_Level">#REF!</definedName>
    <definedName name="Show.Date">IF(#REF!&lt;&gt;"",DATE(YEAR(#REF!),MONTH(#REF!)+(#REF!-1)*12/#REF!,DAY(#REF!)),"")</definedName>
    <definedName name="ShowLogin">#REF!</definedName>
    <definedName name="shulas">#REF!</definedName>
    <definedName name="Siding">#REF!</definedName>
    <definedName name="SIGNED">#REF!</definedName>
    <definedName name="SITE">#REF!</definedName>
    <definedName name="SITE_AREA">#REF!</definedName>
    <definedName name="SITE_IN_PROP_EST">#REF!</definedName>
    <definedName name="SITE_IN_PROP_OUT">#REF!</definedName>
    <definedName name="SITE_OUT_PROP_EST">#REF!</definedName>
    <definedName name="SITE_OUT_PROP_OUT">#REF!</definedName>
    <definedName name="SiteArea">#REF!</definedName>
    <definedName name="Sitename">#REF!</definedName>
    <definedName name="six">#REF!</definedName>
    <definedName name="sk">"1, 3, 1, False, 2, False, False, , 0, False, True, 3, 2"</definedName>
    <definedName name="slips">#REF!</definedName>
    <definedName name="solver_adj">#REF!</definedName>
    <definedName name="solver_cvg">0.001</definedName>
    <definedName name="solver_drv">1</definedName>
    <definedName name="solver_est">1</definedName>
    <definedName name="solver_itr">100</definedName>
    <definedName name="solver_lin">0</definedName>
    <definedName name="solver_neg">2</definedName>
    <definedName name="solver_num">0</definedName>
    <definedName name="solver_nwt">1</definedName>
    <definedName name="solver_opt">#REF!</definedName>
    <definedName name="solver_pre">0.000001</definedName>
    <definedName name="solver_scl">2</definedName>
    <definedName name="solver_sho">2</definedName>
    <definedName name="solver_tim">100</definedName>
    <definedName name="solver_tol">0.05</definedName>
    <definedName name="solver_typ">3</definedName>
    <definedName name="solver_val">0.6</definedName>
    <definedName name="sp">#REF!</definedName>
    <definedName name="Spa_Retreat">#REF!</definedName>
    <definedName name="spa_revenue">#REF!</definedName>
    <definedName name="Spa_Sampler">#REF!</definedName>
    <definedName name="SPAHEAD">"NO"</definedName>
    <definedName name="Special_Glow_Facial">#REF!</definedName>
    <definedName name="SPECIALTY">#REF!</definedName>
    <definedName name="sph">#REF!</definedName>
    <definedName name="sphh">#REF!</definedName>
    <definedName name="sphh1">#REF!</definedName>
    <definedName name="SPLIT">#REF!</definedName>
    <definedName name="spm">#REF!</definedName>
    <definedName name="spmh">#REF!</definedName>
    <definedName name="spmh1">#REF!</definedName>
    <definedName name="Sports_Massage">#REF!</definedName>
    <definedName name="Sportsman_Sampler">#REF!</definedName>
    <definedName name="Spread_A">#REF!</definedName>
    <definedName name="Spread_B">#REF!</definedName>
    <definedName name="sprest">#REF!</definedName>
    <definedName name="Sprinkler">#REF!</definedName>
    <definedName name="SprinklerDesc">#REF!</definedName>
    <definedName name="Sprinklers">#REF!</definedName>
    <definedName name="SprinklerSub">#REF!</definedName>
    <definedName name="SQ_8.00">#REF!</definedName>
    <definedName name="SQ_9.00">#REF!</definedName>
    <definedName name="srp">#REF!</definedName>
    <definedName name="srt">#REF!</definedName>
    <definedName name="srw">#REF!</definedName>
    <definedName name="ss">#N/A</definedName>
    <definedName name="sss">#REF!</definedName>
    <definedName name="ST_Cash_Rev">#REF!+#REF!</definedName>
    <definedName name="ST_Term">#REF!</definedName>
    <definedName name="Stab_Ancil_Inc" localSheetId="4">[0]!EGI-NRI</definedName>
    <definedName name="Stab_Ancil_Inc">EGI-NRI</definedName>
    <definedName name="Stabilized">#REF!</definedName>
    <definedName name="StabNOI">#REF!</definedName>
    <definedName name="STAR_">#REF!</definedName>
    <definedName name="Star_Fruit_Sugar_Glow">#REF!</definedName>
    <definedName name="Start_Date">#REF!</definedName>
    <definedName name="STARTDATE">#REF!</definedName>
    <definedName name="statscum">#REF!</definedName>
    <definedName name="statsdate">#REF!</definedName>
    <definedName name="Status">#REF!</definedName>
    <definedName name="Status_Unit1">#REF!</definedName>
    <definedName name="Status1">#REF!</definedName>
    <definedName name="Status2">#REF!</definedName>
    <definedName name="Status3">#REF!</definedName>
    <definedName name="Status4">#REF!</definedName>
    <definedName name="Status5">#REF!</definedName>
    <definedName name="Status6">#REF!</definedName>
    <definedName name="Status7">#REF!</definedName>
    <definedName name="StblYld_sw">#REF!</definedName>
    <definedName name="Steel">#REF!</definedName>
    <definedName name="SteelDesc">#REF!</definedName>
    <definedName name="SteelSub">#REF!</definedName>
    <definedName name="StorageRentType">#REF!</definedName>
    <definedName name="StorageSF">#REF!</definedName>
    <definedName name="StudentHousing">#REF!</definedName>
    <definedName name="SUBINTRATE">#REF!</definedName>
    <definedName name="SubjectProperty">#REF!</definedName>
    <definedName name="SubjectRooms">#REF!</definedName>
    <definedName name="SUBTERM">#REF!</definedName>
    <definedName name="SUME">#REF!</definedName>
    <definedName name="summ1">#REF!</definedName>
    <definedName name="summ2">#REF!</definedName>
    <definedName name="summarie1">#REF!</definedName>
    <definedName name="summarie2">#REF!</definedName>
    <definedName name="summary">{#N/A,#N/A,FALSE,"Recon of Schedules to BS";#N/A,#N/A,FALSE,"Reconciliation";#N/A,#N/A,FALSE,"Summary";#N/A,#N/A,FALSE,"Recon of GenLedg to Detail";#N/A,#N/A,FALSE,"Atlanta";#N/A,#N/A,FALSE,"Columbia";#N/A,#N/A,FALSE,"Greensboro - Winston-Salem";#N/A,#N/A,FALSE,"Memphis";#N/A,#N/A,FALSE,"Nashville";#N/A,#N/A,FALSE,"Raleigh";#N/A,#N/A,FALSE,"Richmond"}</definedName>
    <definedName name="summary1">#REF!</definedName>
    <definedName name="summary11">#REF!</definedName>
    <definedName name="summary2">#REF!</definedName>
    <definedName name="summary22">#REF!</definedName>
    <definedName name="summy1">#REF!</definedName>
    <definedName name="summy2">#REF!</definedName>
    <definedName name="Sun_FX__Tan">#REF!</definedName>
    <definedName name="SWAGArchitecturalFeePercentage">#REF!</definedName>
    <definedName name="SWAGBaseBuildingConstructionPGSF">#REF!</definedName>
    <definedName name="SWAGCivilFeePercentage">#REF!</definedName>
    <definedName name="SWAGGenContractorBondingPercentage">#REF!</definedName>
    <definedName name="SWAGGeneralContractorInsurance">#REF!</definedName>
    <definedName name="SWAGInsurance">#REF!</definedName>
    <definedName name="SWAGLoanRecordationFee">#REF!</definedName>
    <definedName name="SWAGStructuralFeePercentage">#REF!</definedName>
    <definedName name="SWAGTestingandInspection">#REF!</definedName>
    <definedName name="SwapBaseCCY">#REF!</definedName>
    <definedName name="SwapComponent1">#REF!</definedName>
    <definedName name="SwapComponent2">#REF!</definedName>
    <definedName name="SwapDCConv1">#REF!</definedName>
    <definedName name="SwapDuration1">#REF!</definedName>
    <definedName name="SwapDV011">#REF!</definedName>
    <definedName name="SwapEffDt">#REF!</definedName>
    <definedName name="SwapFairValue">#REF!</definedName>
    <definedName name="SwapFilterCells">#REF!</definedName>
    <definedName name="SwapFreq1">#REF!</definedName>
    <definedName name="SwapFX1">#REF!</definedName>
    <definedName name="SwapFX2">#REF!</definedName>
    <definedName name="SwapHeader">#REF!</definedName>
    <definedName name="SwapKeyRate">#REF!</definedName>
    <definedName name="SwapLastUpdate">#REF!</definedName>
    <definedName name="SwapLeg1Monthly">#REF!</definedName>
    <definedName name="SwapLeg1Quarterly">#REF!</definedName>
    <definedName name="SwapLeg1QuarterlyDefault">#REF!</definedName>
    <definedName name="SwapLeg2Monthly">#REF!</definedName>
    <definedName name="SwapLeg2Quarterly">#REF!</definedName>
    <definedName name="SwapMaturityDt">#REF!</definedName>
    <definedName name="SwapMTM">#REF!</definedName>
    <definedName name="SwapMultiplier1">#REF!</definedName>
    <definedName name="SwapNETAccrued">#REF!</definedName>
    <definedName name="SwapNETDuration">#REF!</definedName>
    <definedName name="SwapNetDV01">#REF!</definedName>
    <definedName name="SwapNotional1">#REF!</definedName>
    <definedName name="SwapPayRec1">#REF!</definedName>
    <definedName name="SwapPVPmt1">#REF!</definedName>
    <definedName name="SwapQuoteId">#REF!</definedName>
    <definedName name="SwapRunTime">#REF!</definedName>
    <definedName name="Swaps">#REF!</definedName>
    <definedName name="SwapShock">#REF!</definedName>
    <definedName name="SwapSpread1">#REF!</definedName>
    <definedName name="SwaptionpayDV10">#REF!</definedName>
    <definedName name="SwaptionreceiveDV10">#REF!</definedName>
    <definedName name="SwaptionVolMatrixCoordinates">#REF!</definedName>
    <definedName name="SwapValueDate">#REF!</definedName>
    <definedName name="SwapVolOveride">#REF!</definedName>
    <definedName name="Swed_Summer_Special">#REF!</definedName>
    <definedName name="Swedish_Massage___50_Min.">#REF!</definedName>
    <definedName name="Swedish_Massage___75_Min.">#REF!</definedName>
    <definedName name="sweep_type">#REF!</definedName>
    <definedName name="swer">{#N/A,#N/A,TRUE,"3-Gateway";#N/A,#N/A,TRUE,"4-ByrkitAve.Bus.Ctr.";#N/A,#N/A,TRUE,"5- 851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Swvu.CAM._.RECOVERIES.">#REF!</definedName>
    <definedName name="Swvu.CAM._.TABLE.">#REF!</definedName>
    <definedName name="Swvu.INSURANCE._.RECOVERIES.">#REF!</definedName>
    <definedName name="Swvu.MINIMUM._.RENT.">#REF!</definedName>
    <definedName name="Swvu.OCCUPANCY._.ANALYSIS.">#REF!</definedName>
    <definedName name="Swvu.PERCENTAGE._.RENT.">#REF!</definedName>
    <definedName name="Swvu.TAX._.RECOVERIES.">#REF!</definedName>
    <definedName name="Swvu.WAT.">#REF!</definedName>
    <definedName name="SY">#REF!</definedName>
    <definedName name="t" localSheetId="11">{"Construction Costs",#N/A,FALSE,"Budget";"Income Statement",#N/A,FALSE,"Budget"}</definedName>
    <definedName name="t">{"Construction Costs",#N/A,FALSE,"Budget";"Income Statement",#N/A,FALSE,"Budget"}</definedName>
    <definedName name="T_S">#REF!</definedName>
    <definedName name="t_t1">#REF!</definedName>
    <definedName name="Table">#REF!</definedName>
    <definedName name="TABLE_A_2">#REF!</definedName>
    <definedName name="TABLE_A_3">#REF!</definedName>
    <definedName name="TABLE_B_1">#REF!</definedName>
    <definedName name="TABLE_B_2">#REF!</definedName>
    <definedName name="TABLE_B_3">#REF!</definedName>
    <definedName name="TABLE_D_1_1">#REF!</definedName>
    <definedName name="TABLE_D_1_10">#REF!</definedName>
    <definedName name="TABLE_D_1_15">#REF!</definedName>
    <definedName name="TABLE_D_1_16">#REF!</definedName>
    <definedName name="TABLE_D_1_17">#REF!</definedName>
    <definedName name="TABLE_D_1_18">#REF!</definedName>
    <definedName name="TABLE_D_1_19">#REF!</definedName>
    <definedName name="TABLE_D_1_2">#REF!</definedName>
    <definedName name="TABLE_D_1_20">#REF!</definedName>
    <definedName name="TABLE_D_1_3">#REF!</definedName>
    <definedName name="TABLE_D_1_4">#REF!</definedName>
    <definedName name="TABLE_D_1_5">#REF!</definedName>
    <definedName name="TABLE_D_1_6">#REF!</definedName>
    <definedName name="TABLE_D_1_7">#REF!</definedName>
    <definedName name="TABLE_D_1_8">#REF!</definedName>
    <definedName name="TABLE_D_1_9">#REF!</definedName>
    <definedName name="TABLE_D_2_1">#REF!</definedName>
    <definedName name="Table_start_date">#REF!</definedName>
    <definedName name="Table_start_pmt">#REF!</definedName>
    <definedName name="TABLE1">#REF!</definedName>
    <definedName name="TABLE2">#REF!</definedName>
    <definedName name="TABLE3">#REF!</definedName>
    <definedName name="TABLE4">#REF!</definedName>
    <definedName name="TABLE5">#REF!</definedName>
    <definedName name="TABLE6">#REF!</definedName>
    <definedName name="TableNames">#REF!,#REF!</definedName>
    <definedName name="TablePage2.com">{"COM",#N/A,FALSE,"800 10th"}</definedName>
    <definedName name="TableTypes">#REF!,#REF!</definedName>
    <definedName name="Talent_Partner_Priority_Sale_Distribution">#REF!</definedName>
    <definedName name="Tan_Exfol">#REF!</definedName>
    <definedName name="Tandem_2nd_Tech">#REF!</definedName>
    <definedName name="Tandem_Touch">#REF!</definedName>
    <definedName name="Tax">#REF!</definedName>
    <definedName name="Tax_Credit_Equity">#REF!</definedName>
    <definedName name="Tax_Depreciation">#REF!</definedName>
    <definedName name="Tax_Gain">#REF!</definedName>
    <definedName name="Tax_Rate">#REF!</definedName>
    <definedName name="Tax00">#REF!</definedName>
    <definedName name="TAXABLE">#REF!</definedName>
    <definedName name="TAXCODES">#REF!</definedName>
    <definedName name="TaxDiscount">#REF!</definedName>
    <definedName name="taxes">#REF!</definedName>
    <definedName name="TAXRATES">#REF!</definedName>
    <definedName name="TAXTABLE">#REF!</definedName>
    <definedName name="taxtrend">#REF!</definedName>
    <definedName name="tbDataBeg1">#REF!</definedName>
    <definedName name="tbDataEnd1">#REF!</definedName>
    <definedName name="tbFoot1">#REF!</definedName>
    <definedName name="tbHdr1">#REF!</definedName>
    <definedName name="tbName1">#REF!</definedName>
    <definedName name="tbTitle1">#REF!</definedName>
    <definedName name="tcap">#REF!</definedName>
    <definedName name="TCAP1">#N/A</definedName>
    <definedName name="TCAP2">#N/A</definedName>
    <definedName name="TCAP3">#N/A</definedName>
    <definedName name="TCAPRATE">#REF!</definedName>
    <definedName name="TCE_Goal_indicator">#REF!</definedName>
    <definedName name="tcost">#REF!</definedName>
    <definedName name="TCOT">#REF!</definedName>
    <definedName name="TCR">#REF!</definedName>
    <definedName name="TDB">#REF!</definedName>
    <definedName name="TDC">#REF!</definedName>
    <definedName name="Team">#REF!</definedName>
    <definedName name="TELEXPGR">#REF!</definedName>
    <definedName name="TELREVGR">#REF!</definedName>
    <definedName name="temp">#REF!</definedName>
    <definedName name="tempdollars">#REF!</definedName>
    <definedName name="templ">#REF!</definedName>
    <definedName name="Template">#REF!</definedName>
    <definedName name="tempname">#REF!</definedName>
    <definedName name="ten">#REF!</definedName>
    <definedName name="ten_hth_rec_gft_hr_ga_2">#REF!</definedName>
    <definedName name="TEN_YEAR">#REF!</definedName>
    <definedName name="Tenant_Improvements">#REF!</definedName>
    <definedName name="Tenant1">#REF!</definedName>
    <definedName name="Tenant1DatevsPercentLeased">#REF!</definedName>
    <definedName name="Tenant1LeaseIncrement">#REF!</definedName>
    <definedName name="Tenant1RentCalculation">#REF!</definedName>
    <definedName name="Tenant1SF">#REF!</definedName>
    <definedName name="Tenant2">#REF!</definedName>
    <definedName name="Tenant2DatevsPercentLeased">#REF!</definedName>
    <definedName name="Tenant2LeaseIncrement">#REF!</definedName>
    <definedName name="Tenant2SF">#REF!</definedName>
    <definedName name="Tenant3">#REF!</definedName>
    <definedName name="Tenant3DatevsPercentLeased">#REF!</definedName>
    <definedName name="Tenant3LeaseIncrement">#REF!</definedName>
    <definedName name="Tenant3SF">#REF!</definedName>
    <definedName name="TenantBelowGrade">#REF!</definedName>
    <definedName name="TenantBelowGradeSF">#REF!</definedName>
    <definedName name="TENANTESC">#REF!</definedName>
    <definedName name="TenantImprovement1">#REF!</definedName>
    <definedName name="TenantImprovement2">#REF!</definedName>
    <definedName name="TenantImprovement3">#REF!</definedName>
    <definedName name="TenantImprovementBelowGrade">#REF!</definedName>
    <definedName name="TenantImprovementsPaidOutxMonthsPrior">#REF!</definedName>
    <definedName name="TenantLeaseTerm1">#REF!</definedName>
    <definedName name="TenantLeaseTerm2">#REF!</definedName>
    <definedName name="TenantLeaseTerm3">#REF!</definedName>
    <definedName name="TenantLeaseTermBelowGrade">#REF!</definedName>
    <definedName name="TenantStorage">#REF!</definedName>
    <definedName name="tennis">#REF!</definedName>
    <definedName name="Tenor">#REF!</definedName>
    <definedName name="TenPercentIncrements">#REF!</definedName>
    <definedName name="TenYearCapital">#REF!</definedName>
    <definedName name="tenyrcap">#REF!</definedName>
    <definedName name="TENYRIRR">#REF!</definedName>
    <definedName name="Term">#REF!</definedName>
    <definedName name="Term_in_years">#REF!</definedName>
    <definedName name="TermCapRate">#REF!</definedName>
    <definedName name="TermCapYear">#REF!</definedName>
    <definedName name="TerminalCap">#REF!</definedName>
    <definedName name="TerminalDate">#REF!</definedName>
    <definedName name="TerminalYear">#REF!</definedName>
    <definedName name="test">#REF!</definedName>
    <definedName name="test1">#REF!</definedName>
    <definedName name="test3">{FALSE,FALSE,1.75,1,600,351,FALSE,FALSE,TRUE,TRUE,0,30,#N/A,41,#N/A,9.57777777777778,18.9166666666667,1,FALSE,FALSE,1,TRUE,1,FALSE,100,"Swvu.As._.Is._.Value.","ACwvu.As._.Is._.Value.",1,FALSE,FALSE,1,1,1,1,1,"","",FALSE,FALSE,FALSE,FALSE,1,#N/A,1,1,FALSE,FALSE,FALSE,FALSE,FALSE,FALSE}</definedName>
    <definedName name="TestAdd">"Test RefersTo1"</definedName>
    <definedName name="Testing">#REF!</definedName>
    <definedName name="Thai_110">#REF!</definedName>
    <definedName name="Thai_75">#REF!</definedName>
    <definedName name="thirteen">#REF!</definedName>
    <definedName name="three">#REF!</definedName>
    <definedName name="ti">{#N/A,#N/A,FALSE,"Aging Summary";#N/A,#N/A,FALSE,"Ratio Analysis";#N/A,#N/A,FALSE,"Test 120 Day Accts";#N/A,#N/A,FALSE,"Tickmarks"}</definedName>
    <definedName name="TI_Depr">#REF!</definedName>
    <definedName name="TI_LC_Reserve">#REF!</definedName>
    <definedName name="tiers">#REF!</definedName>
    <definedName name="tilcdebt">#REF!</definedName>
    <definedName name="time">#REF!</definedName>
    <definedName name="timesaver">#REF!</definedName>
    <definedName name="Timesavr">#REF!</definedName>
    <definedName name="timestamp">#REF!</definedName>
    <definedName name="TIperMonth">#REF!</definedName>
    <definedName name="TITLE">#REF!</definedName>
    <definedName name="TITLE1">#REF!</definedName>
    <definedName name="TITLE2">#REF!</definedName>
    <definedName name="tnh">#REF!</definedName>
    <definedName name="tnhh">#REF!</definedName>
    <definedName name="tnhh1">#REF!</definedName>
    <definedName name="tnm">#REF!</definedName>
    <definedName name="tnmh">#REF!</definedName>
    <definedName name="tnmh1">#REF!</definedName>
    <definedName name="TNRSF">#REF!</definedName>
    <definedName name="ToDateMonth">#REF!</definedName>
    <definedName name="today">#REF!</definedName>
    <definedName name="TOE">#REF!</definedName>
    <definedName name="ToiletAccessDesc">#REF!</definedName>
    <definedName name="ToiletAccessSub">#REF!</definedName>
    <definedName name="ToiletPartDesc">#REF!</definedName>
    <definedName name="ToiletPartSub">#REF!</definedName>
    <definedName name="top">#REF!</definedName>
    <definedName name="TopALL1">#REF!</definedName>
    <definedName name="TopALL2">#REF!</definedName>
    <definedName name="TopALL3">#REF!</definedName>
    <definedName name="TopALL4">#REF!</definedName>
    <definedName name="TopALL5">#REF!</definedName>
    <definedName name="TopASR">#REF!</definedName>
    <definedName name="TopASR2">#REF!</definedName>
    <definedName name="TopCNS">#REF!</definedName>
    <definedName name="TopCOM">#REF!</definedName>
    <definedName name="TopCON">#REF!</definedName>
    <definedName name="TopCOS">#REF!</definedName>
    <definedName name="TopCTG">#REF!</definedName>
    <definedName name="TopDEV">#REF!</definedName>
    <definedName name="TopFFE">#REF!</definedName>
    <definedName name="TopFIN">#REF!</definedName>
    <definedName name="TopGSP2">#REF!</definedName>
    <definedName name="TopHAO">#REF!</definedName>
    <definedName name="TopINT1">#REF!</definedName>
    <definedName name="TopINT2">#REF!</definedName>
    <definedName name="TopINT3">#REF!</definedName>
    <definedName name="TopINT4">#REF!</definedName>
    <definedName name="TopL1A">#REF!</definedName>
    <definedName name="TopL1R">#REF!</definedName>
    <definedName name="TopLAN">#REF!</definedName>
    <definedName name="TopLAR">#REF!</definedName>
    <definedName name="topleft">#REF!</definedName>
    <definedName name="TopLNC">#REF!</definedName>
    <definedName name="TopLON">#REF!</definedName>
    <definedName name="TopLON2">#REF!</definedName>
    <definedName name="TopLSG">#REF!</definedName>
    <definedName name="TopMRK">#REF!</definedName>
    <definedName name="TopMRK1">#REF!</definedName>
    <definedName name="TopMRK10">#REF!</definedName>
    <definedName name="TopMRK11">#REF!</definedName>
    <definedName name="ToPMRK12">#REF!</definedName>
    <definedName name="TopMRK13">#REF!</definedName>
    <definedName name="TopMRK14">#REF!</definedName>
    <definedName name="TopMRK15">#REF!</definedName>
    <definedName name="TopMRK16">#REF!</definedName>
    <definedName name="ToPMRK17">#REF!</definedName>
    <definedName name="TopMRK18">#REF!</definedName>
    <definedName name="TopMRK19">#REF!</definedName>
    <definedName name="ToPMRK2">#REF!</definedName>
    <definedName name="TopMRK20">#REF!</definedName>
    <definedName name="TopMRK21">#REF!</definedName>
    <definedName name="TopMRK3">#REF!</definedName>
    <definedName name="TopMRK4">#REF!</definedName>
    <definedName name="TopMRK5">#REF!</definedName>
    <definedName name="TopMRK6">#REF!</definedName>
    <definedName name="ToPMRK7">#REF!</definedName>
    <definedName name="TopMRK8">#REF!</definedName>
    <definedName name="TopMRK9">#REF!</definedName>
    <definedName name="TopOHF">#REF!</definedName>
    <definedName name="TopONS">#REF!</definedName>
    <definedName name="TopOSS">#REF!</definedName>
    <definedName name="TopWAR">#REF!</definedName>
    <definedName name="torreyprice">#REF!</definedName>
    <definedName name="total">#REF!</definedName>
    <definedName name="TOTAL_ADJUSTMENTS_MTD">#REF!</definedName>
    <definedName name="TOTAL_ADJUSTMENTS_YTD">#REF!</definedName>
    <definedName name="Total_Cap">#REF!</definedName>
    <definedName name="Total_Cost">#REF!</definedName>
    <definedName name="TOTAL_EXPENSES_MTD">#REF!</definedName>
    <definedName name="TOTAL_EXPENSES_YTD">#REF!</definedName>
    <definedName name="TOTAL_INCOME_MTD">#REF!</definedName>
    <definedName name="TOTAL_INCOME_YTD">#REF!</definedName>
    <definedName name="Total_Interest">#REF!</definedName>
    <definedName name="Total_Pay">#REF!</definedName>
    <definedName name="Total_Payment" localSheetId="4">Scheduled_Payment+Extra_Payment</definedName>
    <definedName name="Total_Payment">Scheduled_Payment+Extra_Payment</definedName>
    <definedName name="Total_payments">#REF!*#REF!</definedName>
    <definedName name="Total_Qty_Units">#REF!</definedName>
    <definedName name="TOTAL_REVENUES">#REF!</definedName>
    <definedName name="Total_SF">#REF!</definedName>
    <definedName name="total1">#REF!</definedName>
    <definedName name="TotalApartmentRentprsf">#REF!</definedName>
    <definedName name="TotalBalance">#REF!</definedName>
    <definedName name="TotalConcessions">#REF!</definedName>
    <definedName name="TotalCondoParkingCosts">#REF!</definedName>
    <definedName name="TotalConstructionCostPerApartmentUnit">#REF!</definedName>
    <definedName name="totalcost">-#REF!</definedName>
    <definedName name="TotalDebt">#REF!</definedName>
    <definedName name="TOTALGLA">#REF!</definedName>
    <definedName name="TotalGrids">#REF!</definedName>
    <definedName name="TotalHardCosts">#REF!</definedName>
    <definedName name="TotalHotelRSF">#REF!</definedName>
    <definedName name="TotalNumberofApartmentParkingSpaces">#REF!</definedName>
    <definedName name="TotalNumberofCondoParkingSpaces">#REF!</definedName>
    <definedName name="TotalNumberofOfficeParkingSpaces">#REF!</definedName>
    <definedName name="TotalNumberofRetailParkingSpaces">#REF!</definedName>
    <definedName name="TotalOfficeParkingCosts">#REF!</definedName>
    <definedName name="TotalOfficeRSF">#REF!</definedName>
    <definedName name="TotalPricePerUnit">#REF!</definedName>
    <definedName name="TotalProjectFAR">#REF!</definedName>
    <definedName name="TotalProjectOHLot">#REF!</definedName>
    <definedName name="TotalRentableSF">#REF!</definedName>
    <definedName name="TotalResidentialRSF">#REF!</definedName>
    <definedName name="TotalRetailParkingCosts">#REF!</definedName>
    <definedName name="TotalRetailRSF">#REF!</definedName>
    <definedName name="TOTALSALEPRICE">#REF!</definedName>
    <definedName name="TotalSalesPrice">#REF!</definedName>
    <definedName name="TotalUnits">#REF!</definedName>
    <definedName name="TotalUses">#REF!</definedName>
    <definedName name="TotalVal1USD">#REF!</definedName>
    <definedName name="TotCONA">#REF!</definedName>
    <definedName name="TotCONC">#REF!</definedName>
    <definedName name="TotCONP">#REF!</definedName>
    <definedName name="TotExp_AftRR">#REF!</definedName>
    <definedName name="TotFFEA">#REF!</definedName>
    <definedName name="TotFFEC">#REF!</definedName>
    <definedName name="TotFFEP">#REF!</definedName>
    <definedName name="TotLANA">#REF!</definedName>
    <definedName name="TotLANC">#REF!</definedName>
    <definedName name="TotLANP">#REF!</definedName>
    <definedName name="TotMRKA">#REF!</definedName>
    <definedName name="TotMRKC">#REF!</definedName>
    <definedName name="TotMRKP">#REF!</definedName>
    <definedName name="TotOHFA">#REF!</definedName>
    <definedName name="TotOHFC">#REF!</definedName>
    <definedName name="TotOHFP">#REF!</definedName>
    <definedName name="TotONSA">#REF!</definedName>
    <definedName name="TotONSC">#REF!</definedName>
    <definedName name="TotONSP">#REF!</definedName>
    <definedName name="TotOSSA">#REF!</definedName>
    <definedName name="TotOSSC">#REF!</definedName>
    <definedName name="TotOSSP">#REF!</definedName>
    <definedName name="TR">#REF!</definedName>
    <definedName name="Track">#REF!</definedName>
    <definedName name="TradeAcousticCost">#REF!</definedName>
    <definedName name="TradeAppliancesCost">#REF!</definedName>
    <definedName name="TradeArchMetalCost">#REF!</definedName>
    <definedName name="TradeConcreteCost">#REF!</definedName>
    <definedName name="TradeDemolitionCost">#REF!</definedName>
    <definedName name="TradeDrywallCost">#REF!</definedName>
    <definedName name="TradeElectricalFixtureCost">#REF!</definedName>
    <definedName name="TradeElectricCost">#REF!</definedName>
    <definedName name="TradeElevatorCost">#REF!</definedName>
    <definedName name="TradeFabricPanelsCost">#REF!</definedName>
    <definedName name="TradeFireExtCost">#REF!</definedName>
    <definedName name="TradeFireProofingCost">#REF!</definedName>
    <definedName name="TradeFlooringCost">#REF!</definedName>
    <definedName name="TradeFoldingPartCost">#REF!</definedName>
    <definedName name="Tradehardwarecost">#REF!</definedName>
    <definedName name="TradeHollowMetalCost">#REF!</definedName>
    <definedName name="TradeHVACCost">#REF!</definedName>
    <definedName name="TradeMarbleCost">#REF!</definedName>
    <definedName name="TradeMasonryCost">#REF!</definedName>
    <definedName name="TradeMillworkCost">#REF!</definedName>
    <definedName name="TradePaintingCost">#REF!</definedName>
    <definedName name="TradePermitsCost">#REF!</definedName>
    <definedName name="TradePlumbingCost">#REF!</definedName>
    <definedName name="TradeProjScreenCost">#REF!</definedName>
    <definedName name="TradeProtectionCost">#REF!</definedName>
    <definedName name="TradeRaisedFloorCost">#REF!</definedName>
    <definedName name="TradeSprinklerCost">#REF!</definedName>
    <definedName name="TradeSprinklerFilingCost">#REF!</definedName>
    <definedName name="TradeSteelCost">#REF!</definedName>
    <definedName name="TradeToiletAccessCost">#REF!</definedName>
    <definedName name="TradeToiletPartCost">#REF!</definedName>
    <definedName name="TradeWaterproofingCost">#REF!</definedName>
    <definedName name="TradeWindowTreatmentsCost">#REF!</definedName>
    <definedName name="TransactionCosts">#REF!</definedName>
    <definedName name="TransactionSumm">#REF!</definedName>
    <definedName name="transdollars">#REF!</definedName>
    <definedName name="transname">#REF!</definedName>
    <definedName name="transot">#REF!</definedName>
    <definedName name="transreg">#REF!</definedName>
    <definedName name="Trbidask">#REF!</definedName>
    <definedName name="trc_XLS_DATASHEET_ProtectDate">36888.4816550926</definedName>
    <definedName name="Trending_1">#REF!</definedName>
    <definedName name="trial">{"Outflow 1",#N/A,FALSE,"Outflows-Inflows";"Outflow 2",#N/A,FALSE,"Outflows-Inflows";"Inflow 1",#N/A,FALSE,"Outflows-Inflows";"Inflow 2",#N/A,FALSE,"Outflows-Inflows"}</definedName>
    <definedName name="Trigger">#REF!</definedName>
    <definedName name="trnh">#REF!</definedName>
    <definedName name="trnh1">#REF!</definedName>
    <definedName name="trnhh">#REF!</definedName>
    <definedName name="trnhh1">#REF!</definedName>
    <definedName name="trnm">#REF!</definedName>
    <definedName name="trnm1">#REF!</definedName>
    <definedName name="trnmh">#REF!</definedName>
    <definedName name="trnmh1">#REF!</definedName>
    <definedName name="TrueFalse">#REF!</definedName>
    <definedName name="tsf">#REF!</definedName>
    <definedName name="ttttt">{FALSE,FALSE,1.75,1,600,351,FALSE,FALSE,TRUE,TRUE,0,30,#N/A,41,#N/A,9.57777777777778,18.9166666666667,1,FALSE,FALSE,1,TRUE,1,FALSE,100,"Swvu.As._.Is._.Value.","ACwvu.As._.Is._.Value.",1,FALSE,FALSE,1,1,1,1,1,"","",FALSE,FALSE,FALSE,FALSE,1,#N/A,1,1,FALSE,FALSE,FALSE,FALSE,FALSE,FALSE}</definedName>
    <definedName name="ttttttt">{FALSE,FALSE,1.75,1,600,351,FALSE,FALSE,TRUE,TRUE,0,30,#N/A,41,#N/A,9.57777777777778,18.9166666666667,1,FALSE,FALSE,1,TRUE,1,FALSE,100,"Swvu.As._.Is._.Value.","ACwvu.As._.Is._.Value.",1,FALSE,FALSE,1,1,1,1,1,"","",FALSE,FALSE,FALSE,FALSE,1,#N/A,1,1,FALSE,FALSE,FALSE,FALSE,FALSE,FALSE}</definedName>
    <definedName name="TTTTTTTT">{FALSE,FALSE,1.75,1,600,351,FALSE,FALSE,TRUE,TRUE,0,30,#N/A,41,#N/A,9.57777777777778,18.9166666666667,1,FALSE,FALSE,1,TRUE,1,FALSE,100,"Swvu.As._.Is._.Value.","ACwvu.As._.Is._.Value.",1,FALSE,FALSE,1,1,1,1,1,"","",FALSE,FALSE,FALSE,FALSE,1,#N/A,1,1,FALSE,FALSE,FALSE,FALSE,FALSE,FALSE}</definedName>
    <definedName name="tttttttttttttt">{FALSE,FALSE,1.75,1,600,351,FALSE,FALSE,TRUE,TRUE,0,30,#N/A,41,#N/A,9.57777777777778,18.9166666666667,1,FALSE,FALSE,1,TRUE,1,FALSE,100,"Swvu.As._.Is._.Value.","ACwvu.As._.Is._.Value.",1,FALSE,FALSE,1,1,1,1,1,"","",FALSE,FALSE,FALSE,FALSE,1,#N/A,1,1,FALSE,FALSE,FALSE,FALSE,FALSE,FALSE}</definedName>
    <definedName name="tttttttttttttttt">#REF!</definedName>
    <definedName name="TUNITS">#REF!</definedName>
    <definedName name="Turnover">#REF!</definedName>
    <definedName name="twelve">#REF!</definedName>
    <definedName name="twins" localSheetId="11">{"Construction Costs",#N/A,FALSE,"Budget";"Income Statement",#N/A,FALSE,"Budget"}</definedName>
    <definedName name="twins">{"Construction Costs",#N/A,FALSE,"Budget";"Income Statement",#N/A,FALSE,"Budget"}</definedName>
    <definedName name="TWOYR">#N/A</definedName>
    <definedName name="tx_bc">#REF!</definedName>
    <definedName name="tx_bk1">#REF!</definedName>
    <definedName name="tx_cbr1">#REF!</definedName>
    <definedName name="tx_cc">#REF!</definedName>
    <definedName name="tx_gft">#REF!</definedName>
    <definedName name="tx_gft1">#REF!</definedName>
    <definedName name="tx_glf1">#REF!</definedName>
    <definedName name="tx_hth">#REF!</definedName>
    <definedName name="tx_hth1">#REF!</definedName>
    <definedName name="tx_kit">#REF!</definedName>
    <definedName name="tx_l1">#REF!</definedName>
    <definedName name="tx_l2">#REF!</definedName>
    <definedName name="tx_lb">#REF!</definedName>
    <definedName name="tx_lb_rs_mb">#REF!</definedName>
    <definedName name="tx_lb1">#REF!</definedName>
    <definedName name="tx_ln11">#REF!</definedName>
    <definedName name="tx_ln21">#REF!</definedName>
    <definedName name="tx_mb">#REF!</definedName>
    <definedName name="tx_mb1">#REF!</definedName>
    <definedName name="tx_pk">#REF!</definedName>
    <definedName name="tx_r1">#REF!</definedName>
    <definedName name="tx_r11">#REF!</definedName>
    <definedName name="tx_r2">#REF!</definedName>
    <definedName name="tx_r21">#REF!</definedName>
    <definedName name="tx_r3">#REF!</definedName>
    <definedName name="tx_r31">#REF!</definedName>
    <definedName name="tx_r4">#REF!</definedName>
    <definedName name="tx_r41">#REF!</definedName>
    <definedName name="tx_re1_re2_re3">#REF!</definedName>
    <definedName name="tx_re4_sp_l1_l2">#REF!</definedName>
    <definedName name="tx_rec">#REF!</definedName>
    <definedName name="tx_rec1">#REF!</definedName>
    <definedName name="tx_rm1">#REF!</definedName>
    <definedName name="tx_rs">#REF!</definedName>
    <definedName name="tx_rs1">#REF!</definedName>
    <definedName name="tx_sp1">#REF!</definedName>
    <definedName name="tx_sr">#REF!</definedName>
    <definedName name="tx_tel">#REF!</definedName>
    <definedName name="tx_ten">#REF!</definedName>
    <definedName name="tx_ten1">#REF!</definedName>
    <definedName name="Type">#REF!</definedName>
    <definedName name="Type1">#REF!</definedName>
    <definedName name="Type2">#REF!</definedName>
    <definedName name="TYSONS">#REF!</definedName>
    <definedName name="UCP">#REF!</definedName>
    <definedName name="UDD">#REF!</definedName>
    <definedName name="Ult._Indulg._Pack.">#REF!</definedName>
    <definedName name="ummo10">#REF!</definedName>
    <definedName name="ummo11">#REF!</definedName>
    <definedName name="ummo12">#REF!</definedName>
    <definedName name="ummo5">#REF!</definedName>
    <definedName name="ummo6">#REF!</definedName>
    <definedName name="ummo7">#REF!</definedName>
    <definedName name="ummo8">#REF!</definedName>
    <definedName name="ummo9">#REF!</definedName>
    <definedName name="umms10">#REF!</definedName>
    <definedName name="umms11">#REF!</definedName>
    <definedName name="umms12">#REF!</definedName>
    <definedName name="umms5">#REF!</definedName>
    <definedName name="umms6">#REF!</definedName>
    <definedName name="umms7">#REF!</definedName>
    <definedName name="umms8">#REF!</definedName>
    <definedName name="umms9">#REF!</definedName>
    <definedName name="umsf10">#REF!</definedName>
    <definedName name="umsf11">#REF!</definedName>
    <definedName name="umsf12">#REF!</definedName>
    <definedName name="umsf5">#REF!</definedName>
    <definedName name="umsf6">#REF!</definedName>
    <definedName name="umsf7">#REF!</definedName>
    <definedName name="umsf8">#REF!</definedName>
    <definedName name="umsf9">#REF!</definedName>
    <definedName name="unattached">{#N/A,#N/A,FALSE,"el.det";#N/A,#N/A,FALSE,"mu.det";#N/A,#N/A,FALSE,"ug.det";#N/A,#N/A,FALSE,"ex.det";#N/A,#N/A,FALSE,"lux.det";#N/A,#N/A,FALSE,"custom.lot";#N/A,#N/A,FALSE,"condo.att";#N/A,#N/A,FALSE,"el.att";#N/A,#N/A,FALSE,"mu.att";#N/A,#N/A,FALSE,"ex.att";#N/A,#N/A,FALSE,"lux.att";#N/A,#N/A,FALSE,"all.by.village"}</definedName>
    <definedName name="Underarm_Wax">#REF!</definedName>
    <definedName name="Unhide">#REF!</definedName>
    <definedName name="Unit_Type">#REF!</definedName>
    <definedName name="Unit1_Info">#REF!</definedName>
    <definedName name="Unit1_Mo1">#REF!</definedName>
    <definedName name="Unit1_Rents">#REF!</definedName>
    <definedName name="UnitArea">#REF!</definedName>
    <definedName name="unitcount">#REF!</definedName>
    <definedName name="UnitMix">#REF!</definedName>
    <definedName name="UnitRent">#REF!</definedName>
    <definedName name="units">#REF!</definedName>
    <definedName name="units1">+#REF!</definedName>
    <definedName name="units2">#REF!</definedName>
    <definedName name="UNITSA">#REF!</definedName>
    <definedName name="Unrealized_I">#REF!</definedName>
    <definedName name="Unrealized_I_II_III">#REF!</definedName>
    <definedName name="Unrealized_II">#REF!</definedName>
    <definedName name="Unrealized_III">#REF!</definedName>
    <definedName name="Untitled">#REF!</definedName>
    <definedName name="Upfront_Loan">#REF!</definedName>
    <definedName name="USB">#REF!</definedName>
    <definedName name="UsedToDischargeDebt">#REF!</definedName>
    <definedName name="UseNetOpExCalcYesNo">#REF!</definedName>
    <definedName name="userid">#REF!</definedName>
    <definedName name="userlevel">#REF!</definedName>
    <definedName name="USP">#REF!</definedName>
    <definedName name="USTrate">#REF!</definedName>
    <definedName name="util">#REF!</definedName>
    <definedName name="Utilities">#REF!</definedName>
    <definedName name="v_Key1">#REF!</definedName>
    <definedName name="v_Key2">#REF!</definedName>
    <definedName name="v_t1">#REF!</definedName>
    <definedName name="VAC">#REF!</definedName>
    <definedName name="vac_4">#REF!</definedName>
    <definedName name="vac_5">#REF!</definedName>
    <definedName name="vac_6">#REF!</definedName>
    <definedName name="vac_7">#REF!</definedName>
    <definedName name="vac_8">#REF!</definedName>
    <definedName name="vac_9">#REF!</definedName>
    <definedName name="Vacancy">#REF!</definedName>
    <definedName name="Vacancy_FY1">#REF!</definedName>
    <definedName name="Vacancy_FY2">#REF!</definedName>
    <definedName name="Vacancy_FY36">#REF!</definedName>
    <definedName name="VacancyBelowGradePercentage">#REF!</definedName>
    <definedName name="VacancyBelowGradeYesNo">#REF!</definedName>
    <definedName name="VacancyTenant1Percentage">#REF!</definedName>
    <definedName name="VacancyTenant1YesNo">#REF!</definedName>
    <definedName name="VacancyTenant2Percentage">#REF!</definedName>
    <definedName name="VacancyTenant2YesNo">#REF!</definedName>
    <definedName name="VacancyTenant3Percentage">#REF!</definedName>
    <definedName name="VacancyTenant3YesNo">#REF!</definedName>
    <definedName name="Vacant">#REF!</definedName>
    <definedName name="vacres">#REF!</definedName>
    <definedName name="VAL">#REF!</definedName>
    <definedName name="val_cyeps">#REF!</definedName>
    <definedName name="val_cyrev">#REF!</definedName>
    <definedName name="val_nyeps">#REF!</definedName>
    <definedName name="val_nyrev">#REF!</definedName>
    <definedName name="val_pyeps">#REF!</definedName>
    <definedName name="val_pyrev">#REF!</definedName>
    <definedName name="val_sharecount">#REF!</definedName>
    <definedName name="valuation">#REF!</definedName>
    <definedName name="VALUE">#REF!</definedName>
    <definedName name="value1">#REF!</definedName>
    <definedName name="value2">#REF!</definedName>
    <definedName name="value3">#REF!</definedName>
    <definedName name="value4">#REF!</definedName>
    <definedName name="value5">#REF!</definedName>
    <definedName name="value6">#REF!</definedName>
    <definedName name="value7">#REF!</definedName>
    <definedName name="Values_Entered">#N/A</definedName>
    <definedName name="Valuew">#REF!</definedName>
    <definedName name="var96_96">{#N/A,#N/A,FALSE,"B_Spread"}</definedName>
    <definedName name="VARIANCE">#REF!</definedName>
    <definedName name="Variance_100">#REF!</definedName>
    <definedName name="vAssFee">#REF!</definedName>
    <definedName name="vcity">#REF!</definedName>
    <definedName name="VCT">#REF!</definedName>
    <definedName name="Vendor_Name_index">_xlfn.ANCHORARRAY('04_VendorDetail'!$A$8:$A$25)</definedName>
    <definedName name="VendorList">_xlfn.ANCHORARRAY(zz_data!$V1)</definedName>
    <definedName name="VENDORS" localSheetId="5">tblVendors[VendorName]</definedName>
    <definedName name="VENDORS" localSheetId="4">tblVendors[VendorName]</definedName>
    <definedName name="VENDORS">tblVendors[VendorName]</definedName>
    <definedName name="Venture_Average_Cash_On_Cash">#REF!</definedName>
    <definedName name="version">#REF!</definedName>
    <definedName name="Version_Notes">#REF!</definedName>
    <definedName name="VeryLastMonth">#REF!</definedName>
    <definedName name="VF">#REF!</definedName>
    <definedName name="vloancc">#REF!</definedName>
    <definedName name="Volume">"Chart 8"</definedName>
    <definedName name="votherinc">#REF!</definedName>
    <definedName name="vPP">#REF!</definedName>
    <definedName name="vreim">#REF!</definedName>
    <definedName name="vrentpot">#REF!</definedName>
    <definedName name="vreserve">#REF!</definedName>
    <definedName name="vrm">#REF!</definedName>
    <definedName name="vtotalcc">#REF!</definedName>
    <definedName name="vunits">#REF!</definedName>
    <definedName name="w" localSheetId="11">{"Construction Costs",#N/A,FALSE,"Budget";"Income Statement",#N/A,FALSE,"Budget"}</definedName>
    <definedName name="w">{"Construction Costs",#N/A,FALSE,"Budget";"Income Statement",#N/A,FALSE,"Budget"}</definedName>
    <definedName name="wacko">{#N/A,#N/A,FALSE,"el.det";#N/A,#N/A,FALSE,"mu.det";#N/A,#N/A,FALSE,"ug.det";#N/A,#N/A,FALSE,"ex.det";#N/A,#N/A,FALSE,"lux.det";#N/A,#N/A,FALSE,"custom.lot";#N/A,#N/A,FALSE,"condo.att";#N/A,#N/A,FALSE,"el.att";#N/A,#N/A,FALSE,"mu.att";#N/A,#N/A,FALSE,"ex.att";#N/A,#N/A,FALSE,"lux.att";#N/A,#N/A,FALSE,"all.by.village"}</definedName>
    <definedName name="WADASD">{6}</definedName>
    <definedName name="wages">#REF!</definedName>
    <definedName name="wagesbudget">#REF!</definedName>
    <definedName name="WAR">#REF!</definedName>
    <definedName name="warning">#REF!</definedName>
    <definedName name="Waterfall_Rank">#REF!</definedName>
    <definedName name="WaterfallValuation">#REF!</definedName>
    <definedName name="WaterproofingDesc">#REF!</definedName>
    <definedName name="WaterproofingSub">#REF!</definedName>
    <definedName name="Watsu">#REF!</definedName>
    <definedName name="Watt_Equity_Contribution">#REF!</definedName>
    <definedName name="wc">#REF!</definedName>
    <definedName name="wcburden">#REF!</definedName>
    <definedName name="wcperc">#REF!</definedName>
    <definedName name="WEA_NOI">#REF!</definedName>
    <definedName name="WEA_Variance">#REF!</definedName>
    <definedName name="WebBase">#REF!</definedName>
    <definedName name="weird" localSheetId="11">{"cashcons",#N/A,FALSE,"CASHCONS";"cash7000",#N/A,FALSE,"CASH7000";"cash9000",#N/A,FALSE,"CASH9000";"assu7000",#N/A,FALSE,"ASSU7000";"assu9000",#N/A,FALSE,"ASSU9000";"rentroll",#N/A,FALSE,"RENTROLL";"expr7000",#N/A,FALSE,"EXPR7000";"expr9000",#N/A,FALSE,"EXPR9000"}</definedName>
    <definedName name="weird">{"cashcons",#N/A,FALSE,"CASHCONS";"cash7000",#N/A,FALSE,"CASH7000";"cash9000",#N/A,FALSE,"CASH9000";"assu7000",#N/A,FALSE,"ASSU7000";"assu9000",#N/A,FALSE,"ASSU9000";"rentroll",#N/A,FALSE,"RENTROLL";"expr7000",#N/A,FALSE,"EXPR7000";"expr9000",#N/A,FALSE,"EXPR9000"}</definedName>
    <definedName name="weird2" localSheetId="11">{"cashcons",#N/A,FALSE,"CASHCONS";"cash7000",#N/A,FALSE,"CASH7000";"cash9000",#N/A,FALSE,"CASH9000";"assu7000",#N/A,FALSE,"ASSU7000";"assu9000",#N/A,FALSE,"ASSU9000";"rentroll",#N/A,FALSE,"RENTROLL";"expr7000",#N/A,FALSE,"EXPR7000";"expr9000",#N/A,FALSE,"EXPR9000"}</definedName>
    <definedName name="weird2">{"cashcons",#N/A,FALSE,"CASHCONS";"cash7000",#N/A,FALSE,"CASH7000";"cash9000",#N/A,FALSE,"CASH9000";"assu7000",#N/A,FALSE,"ASSU7000";"assu9000",#N/A,FALSE,"ASSU9000";"rentroll",#N/A,FALSE,"RENTROLL";"expr7000",#N/A,FALSE,"EXPR7000";"expr9000",#N/A,FALSE,"EXPR9000"}</definedName>
    <definedName name="welcomemessage">#REF!</definedName>
    <definedName name="wer">#REF!</definedName>
    <definedName name="Wharf_Qty_1BR">#REF!</definedName>
    <definedName name="Wharf_Qty_1BRplus">#REF!</definedName>
    <definedName name="Wharf_Qty_2BR">#REF!</definedName>
    <definedName name="Wharf_Qty_Pkg_Spaces">#REF!</definedName>
    <definedName name="Wharf_Rent_1BR">#REF!</definedName>
    <definedName name="Wharf_Rent_1BRplus">#REF!</definedName>
    <definedName name="Wharf_Rent_2BR">#REF!</definedName>
    <definedName name="WHAT">{#N/A,#N/A,FALSE,"II-2 POP.HH";#N/A,#N/A,FALSE,"II-3 AGE.DIST";#N/A,#N/A,FALSE,"II-4 HH.DIST";#N/A,#N/A,FALSE,"II-5 EMP.INDUS"}</definedName>
    <definedName name="what2">{#N/A,#N/A,FALSE,"II-2 POP.HH";#N/A,#N/A,FALSE,"II-3 AGE.DIST";#N/A,#N/A,FALSE,"II-4 HH.DIST";#N/A,#N/A,FALSE,"II-5 EMP.INDUS"}</definedName>
    <definedName name="whitehall">#REF!</definedName>
    <definedName name="WHSPLIT">#REF!</definedName>
    <definedName name="WindowTreatmentsDesc">#REF!</definedName>
    <definedName name="WindowTreatSub">#REF!</definedName>
    <definedName name="Womens__Cut_Only">#REF!</definedName>
    <definedName name="Womens_Cut___Blow___Long">#REF!</definedName>
    <definedName name="Womens_Shampoo_Blow">#REF!</definedName>
    <definedName name="Womens_Up_Do">#REF!</definedName>
    <definedName name="WORK">#REF!</definedName>
    <definedName name="worksheet">#REF!</definedName>
    <definedName name="wow">#REF!</definedName>
    <definedName name="wrd.2._.pagers.3">{"Cover",#N/A,FALSE,"Cover";"Summary",#N/A,FALSE,"Summarpage"}</definedName>
    <definedName name="wrn.1111._.Report.">{#N/A,#N/A,FALSE,"Annualized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998._.Budget.">{#N/A,#N/A,FALSE,"A";#N/A,#N/A,FALSE,"B";#N/A,#N/A,FALSE,"C";#N/A,#N/A,FALSE,"D";#N/A,#N/A,FALSE,"E";#N/A,#N/A,FALSE,"F";#N/A,#N/A,FALSE,"G";#N/A,#N/A,FALSE,"H";#N/A,#N/A,FALSE,"I";#N/A,#N/A,FALSE,"J";#N/A,#N/A,FALSE,"K";#N/A,#N/A,FALSE,"L";#N/A,#N/A,FALSE,"M";#N/A,#N/A,FALSE,"N";#N/A,#N/A,FALSE,"O";#N/A,#N/A,FALSE,"P";#N/A,#N/A,FALSE,"Q";#N/A,#N/A,FALSE,"R"}</definedName>
    <definedName name="wrn.2._.pagers.">{"Cover",#N/A,FALSE,"Cover";"Summary",#N/A,FALSE,"Summarpage"}</definedName>
    <definedName name="wrn.2._.pagers.2">{"Cover",#N/A,FALSE,"Cover";"Summary",#N/A,FALSE,"Summarpage"}</definedName>
    <definedName name="wrn.3yr.CF.">{"assume",#N/A,FALSE,"K&amp;20th Month CF";"MoCF",#N/A,FALSE,"K&amp;20th Month CF";"AnCF",#N/A,FALSE,"K&amp;20th Month CF"}</definedName>
    <definedName name="wrn.96126.00._.ValCo.Segmentation.">{#N/A,#N/A,FALSE,"el.det";#N/A,#N/A,FALSE,"mu.det";#N/A,#N/A,FALSE,"ug.det";#N/A,#N/A,FALSE,"ex.det";#N/A,#N/A,FALSE,"lux.det";#N/A,#N/A,FALSE,"custom.lot";#N/A,#N/A,FALSE,"condo.att";#N/A,#N/A,FALSE,"el.att";#N/A,#N/A,FALSE,"mu.att";#N/A,#N/A,FALSE,"ex.att";#N/A,#N/A,FALSE,"lux.att";#N/A,#N/A,FALSE,"all.by.village"}</definedName>
    <definedName name="wrn.access.">{"Access",#N/A,FALSE,"Access"}</definedName>
    <definedName name="wrn.Accounts._.Payable." localSheetId="11">{"Accounts Payable",#N/A,FALSE,"Invoice &amp; AP"}</definedName>
    <definedName name="wrn.Accounts._.Payable.">{"Accounts Payable",#N/A,FALSE,"Invoice &amp; AP"}</definedName>
    <definedName name="wrn.Accretion.">{"Accretion",#N/A,FALSE,"Assum"}</definedName>
    <definedName name="wrn.Aging._.and._.Trend._.Analysis.">{#N/A,#N/A,FALSE,"Aging Summary";#N/A,#N/A,FALSE,"Ratio Analysis";#N/A,#N/A,FALSE,"Test 120 Day Accts";#N/A,#N/A,FALSE,"Tickmarks"}</definedName>
    <definedName name="wrn.All." localSheetId="11">{"1",#N/A,TRUE,"Sheet4";"2",#N/A,TRUE,"Sheet4"}</definedName>
    <definedName name="wrn.All.">{"1",#N/A,TRUE,"Sheet4";"2",#N/A,TRUE,"Sheet4"}</definedName>
    <definedName name="wrn.All._.Inputs.">{#N/A,#N/A,FALSE,"Primary";#N/A,#N/A,FALSE,"Secondary";#N/A,#N/A,FALSE,"Latent";#N/A,#N/A,FALSE,"Demand Inputs";#N/A,#N/A,FALSE,"Supply Addn";#N/A,#N/A,FALSE,"Mkt Pen"}</definedName>
    <definedName name="wrn.ALL._.PAGES." localSheetId="11">{"cashcons",#N/A,FALSE,"CASHCONS";"cash7000",#N/A,FALSE,"CASH7000";"cash9000",#N/A,FALSE,"CASH9000";"assu7000",#N/A,FALSE,"ASSU7000";"assu9000",#N/A,FALSE,"ASSU9000";"rentroll",#N/A,FALSE,"RENTROLL";"expr7000",#N/A,FALSE,"EXPR7000";"expr9000",#N/A,FALSE,"EXPR9000"}</definedName>
    <definedName name="wrn.ALL._.PAGES.">{"cashcons",#N/A,FALSE,"CASHCONS";"cash7000",#N/A,FALSE,"CASH7000";"cash9000",#N/A,FALSE,"CASH9000";"assu7000",#N/A,FALSE,"ASSU7000";"assu9000",#N/A,FALSE,"ASSU9000";"rentroll",#N/A,FALSE,"RENTROLL";"expr7000",#N/A,FALSE,"EXPR7000";"expr9000",#N/A,FALSE,"EXPR9000"}</definedName>
    <definedName name="wrn.All._.Schedules.">{#N/A,#N/A,FALSE,"Static Proforma";#N/A,#N/A,FALSE,"Bldg Dev DCF";#N/A,#N/A,FALSE,"Land Sales DCF"}</definedName>
    <definedName name="wrn.All._.Subs.">{#N/A,#N/A,FALSE,"HVAC";#N/A,#N/A,FALSE,"Acoust. Clg.";#N/A,#N/A,FALSE,"Chain link";#N/A,#N/A,FALSE,"Electrical";#N/A,#N/A,FALSE,"Plaster";#N/A,#N/A,FALSE,"Plumbing";#N/A,#N/A,FALSE,"Site Util";#N/A,#N/A,FALSE,"Fire";#N/A,#N/A,FALSE,"Flooring";#N/A,#N/A,FALSE,"Paint";#N/A,#N/A,FALSE,"Drywall+";#N/A,#N/A,FALSE,"Roofing";#N/A,#N/A,FALSE,"Misc. Steel";#N/A,#N/A,FALSE,"Glass";#N/A,#N/A,FALSE,"Site Conc";#N/A,#N/A,FALSE,"Paving";#N/A,#N/A,FALSE,"Grading";#N/A,#N/A,FALSE,"Landscape";#N/A,#N/A,FALSE,"Trailer";#N/A,#N/A,FALSE,"Misc.";#N/A,#N/A,FALSE,"Doors";#N/A,#N/A,FALSE,"Demolition";#N/A,#N/A,FALSE,"Mtl Bldg";#N/A,#N/A,FALSE,"Survey"}</definedName>
    <definedName name="wrn.Annual._.Summary.">{"Annual Cash Flows",#N/A,FALSE,"Annual Summary"}</definedName>
    <definedName name="wrn.AnnualRentRoll." localSheetId="11">{"AnnualRentRoll",#N/A,FALSE,"RentRoll"}</definedName>
    <definedName name="wrn.AnnualRentRoll.">{"AnnualRentRoll",#N/A,FALSE,"RentRoll"}</definedName>
    <definedName name="wrn.AP._.2." localSheetId="11">{"AP2",#N/A,FALSE,"Invoice &amp; AP"}</definedName>
    <definedName name="wrn.AP._.2.">{"AP2",#N/A,FALSE,"Invoice &amp; AP"}</definedName>
    <definedName name="wrn.AP2." localSheetId="11">{"AP2",#N/A,FALSE,"Invoice &amp; AP"}</definedName>
    <definedName name="wrn.AP2.">{"AP2",#N/A,FALSE,"Invoice &amp; AP"}</definedName>
    <definedName name="wrn.Asset._.Manager._.Package.">{#N/A,#N/A,FALSE,"Assumptions";#N/A,#N/A,FALSE,"DCF 5 YR";#N/A,#N/A,FALSE," DCF 10 YR";#N/A,#N/A,FALSE,"Cashflows";"Asset Review 2",#N/A,FALSE,"Asset Review";"Asset Review 1",#N/A,FALSE,"Asset Review"}</definedName>
    <definedName name="wrn.Assumptions.">{"Assumptions",#N/A,FALSE,"Assumptions"}</definedName>
    <definedName name="wrn.ASU.">{#N/A,#N/A,FALSE,"Demo";#N/A,#N/A,FALSE,"Earth";#N/A,#N/A,FALSE,"Termite";#N/A,#N/A,FALSE,"Caisson";#N/A,#N/A,FALSE,"Landscape";#N/A,#N/A,FALSE,"SiteConc";#N/A,#N/A,FALSE,"Conc";#N/A,#N/A,FALSE,"Mason";#N/A,#N/A,FALSE,"Steel";#N/A,#N/A,FALSE,"MtlDeck";#N/A,#N/A,FALSE,"MiscMtl";#N/A,#N/A,FALSE,"WkSht1";#N/A,#N/A,FALSE,"P-Lam";#N/A,#N/A,FALSE,"WtrProof";#N/A,#N/A,FALSE,"Insul";#N/A,#N/A,FALSE,"Roof";#N/A,#N/A,FALSE,"Alum";#N/A,#N/A,FALSE,"ShtMtl";#N/A,#N/A,FALSE,"Skylt";#N/A,#N/A,FALSE,"Seal"}</definedName>
    <definedName name="wrn.Auto._.Comp.">{#N/A,#N/A,FALSE,"Sheet1"}</definedName>
    <definedName name="wrn.B._.Spread._.Worksheet._.Summary.">{#N/A,#N/A,FALSE,"B_Spread"}</definedName>
    <definedName name="wrn.B._.Spread._.Worksheets._.Detail.">{#N/A,#N/A,FALSE,"B_Spread"}</definedName>
    <definedName name="wrn.BA.">{"ba1",#N/A,TRUE,"B-A";"ba2",#N/A,TRUE,"B-A"}</definedName>
    <definedName name="wrn.Balcor.">{#N/A,#N/A,FALSE,"Exec Sum 10Yr";#N/A,#N/A,FALSE,"Assumptions";#N/A,#N/A,FALSE,"Operating Stmts";#N/A,#N/A,FALSE,"Year One Pro Forma";#N/A,#N/A,FALSE,"Rent Roll Summary";#N/A,#N/A,FALSE,"Market Rent Detail";#N/A,#N/A,FALSE,"Effective Rental Income Detail";#N/A,#N/A,FALSE,"Cash Flow Projections";#N/A,#N/A,FALSE,"Net Residual Value"}</definedName>
    <definedName name="wrn.BaseYearDemand.">{"Base Year Demand",#N/A,FALSE,"Demand-Base Year"}</definedName>
    <definedName name="wrn.BIGGER.">{"PROFORMA",#N/A,FALSE,"A";"BIGGER 1",#N/A,FALSE,"B";"BIGGER 2",#N/A,FALSE,"B";"BIGGER 3",#N/A,FALSE,"B";"SMALL CF 1",#N/A,FALSE,"C"}</definedName>
    <definedName name="wrn.BlackWhite.">{#N/A,#N/A,FALSE,"NNN sum";#N/A,#N/A,FALSE,"10-yr Opt. A Sum";#N/A,#N/A,FALSE,"10-yr Opt A Other Costs";#N/A,#N/A,FALSE,"Purchase Sum";#N/A,#N/A,FALSE,"Purchase Other Costs"}</definedName>
    <definedName name="wrn.BlackWhite5">{#N/A,#N/A,FALSE,"NNN sum";#N/A,#N/A,FALSE,"10-yr Opt. A Sum";#N/A,#N/A,FALSE,"10-yr Opt A Other Costs";#N/A,#N/A,FALSE,"Purchase Sum";#N/A,#N/A,FALSE,"Purchase Other Costs"}</definedName>
    <definedName name="wrn.bleu4.">{#N/A,#N/A,FALSE}</definedName>
    <definedName name="wrn.Blue._.Book._.Sections.">{#N/A,#N/A,TRUE,"Summary";#N/A,#N/A,TRUE,"Program Scheme";#N/A,#N/A,TRUE,"Assumptions";#N/A,#N/A,TRUE,"Development Budget &amp; Timing";#N/A,#N/A,TRUE,"Cash Flow";#N/A,#N/A,TRUE,"Cash Flow to Debt &amp; Equity"}</definedName>
    <definedName name="wrn.BOOK.">{#N/A,#N/A,FALSE,"COVER";#N/A,#N/A,FALSE,"TABLE OF CONTENTS";#N/A,#N/A,FALSE,"EXEC SUMM";#N/A,#N/A,FALSE,"SURVEY";#N/A,#N/A,FALSE,"PROSPECT";#N/A,#N/A,FALSE,"NEW,EXPANSION,RENEWAL,RELET";#N/A,#N/A,FALSE,"EXPIRED,DEFAULTED";#N/A,#N/A,FALSE,"SIGNED LEASES";#N/A,#N/A,FALSE,"LOST TRANSACTIONS ";#N/A,#N/A,FALSE,"STACKING PLAN";#N/A,#N/A,FALSE,"EXPIRATIONS";#N/A,#N/A,FALSE,"OPTIONS";#N/A,#N/A,FALSE,"SUBLEASE";#N/A,#N/A,FALSE,"AR ANALYSIS";#N/A,#N/A,FALSE,"NER_IN_PLACE";#N/A,#N/A,FALSE,"NER_ACQ_DATE";#N/A,#N/A,FALSE,"titles"}</definedName>
    <definedName name="wrn.Both._.Outputs.">{"LTV Output",#N/A,FALSE,"Output";"DCR Output",#N/A,FALSE,"Output"}</definedName>
    <definedName name="wrn.BOV.">{#N/A,#N/A,FALSE,"Pricing Matrix";#N/A,#N/A,FALSE,"Assumptions";#N/A,#N/A,FALSE,"Year One Pro Forma";#N/A,#N/A,FALSE,"Operating Stmts";#N/A,#N/A,FALSE,"Cash Flow Projections";#N/A,#N/A,FALSE,"Rent Roll Summary";#N/A,#N/A,FALSE,"Market Rent Detail";#N/A,#N/A,FALSE,"Effective Rental Income Detail"}</definedName>
    <definedName name="wrn.CAM._.Allocation.">{"CAM_Summary",#N/A,FALSE,"CAM Allocation";"CAM1",#N/A,FALSE,"CAM Allocation";"CAM2",#N/A,FALSE,"CAM Allocation";"CAM3",#N/A,FALSE,"CAM Allocation"}</definedName>
    <definedName name="wrn.CAPREIT.">{#N/A,#N/A,FALSE,"CAPREIT"}</definedName>
    <definedName name="wrn.CAPREIT2">{#N/A,#N/A,FALSE,"CAPREIT"}</definedName>
    <definedName name="wrn.Cash.">{"Cash_detail",#N/A,FALSE,"Cash";"Cash_summary",#N/A,FALSE,"Cash";"Cash_adjustments",#N/A,FALSE,"Cash";"Cash_reconciliation",#N/A,FALSE,"Cash";"Cash_Variance",#N/A,FALSE,"Cash"}</definedName>
    <definedName name="wrn.Cash._.Flow._.Anal.">{"CF",#N/A,FALSE,"Cash Flow";"RET",#N/A,FALSE,"Returns";"NPV",#N/A,FALSE,"Values";"ASMPT",#N/A,FALSE,"Assumptions"}</definedName>
    <definedName name="wrn.Cash._.Flow._.Analysis." localSheetId="11">{"CF",#N/A,FALSE,"Cash Flow";"RET",#N/A,FALSE,"Returns";"NPV",#N/A,FALSE,"Values";"ASMPT",#N/A,FALSE,"Assumptions"}</definedName>
    <definedName name="wrn.Cash._.Flow._.Analysis.">{"CF",#N/A,FALSE,"Cash Flow";"RET",#N/A,FALSE,"Returns";"NPV",#N/A,FALSE,"Values";"ASMPT",#N/A,FALSE,"Assumptions"}</definedName>
    <definedName name="wrn.Cash._.Flow._.and._.Matrix.">{#N/A,#N/A,FALSE,"Matrix";#N/A,#N/A,FALSE,"Cash Flow";#N/A,#N/A,FALSE,"10 Year Cost Analysis"}</definedName>
    <definedName name="wrn.CASH._.FLOWS._.ONLY.">{#N/A,#N/A,FALSE,"Assumptions";#N/A,#N/A,FALSE,"Consol CF";#N/A,#N/A,FALSE,"Hacienda CF";#N/A,#N/A,FALSE,"Chabot CF";#N/A,#N/A,FALSE,"Diablo CF"}</definedName>
    <definedName name="wrn.CashFlow._.Budget." localSheetId="11">{#N/A,#N/A,FALSE,"FRC";#N/A,#N/A,FALSE,"ExecS";#N/A,#N/A,FALSE,"Summary CF";#N/A,#N/A,FALSE,"Detail CF";#N/A,#N/A,FALSE,"CF Assum";#N/A,#N/A,FALSE,"M Summary CF";#N/A,#N/A,FALSE,"M Detail CF";#N/A,#N/A,FALSE,"OSR";#N/A,#N/A,FALSE,"CTSR";#N/A,#N/A,FALSE,"RTSR";#N/A,#N/A,FALSE,"T Revenue";#N/A,#N/A,FALSE,"RP Trans";#N/A,#N/A,FALSE,"RE Taxes";#N/A,#N/A,FALSE,"S &amp; W";#N/A,#N/A,FALSE,"Cap X";#N/A,#N/A,FALSE,"P Bldg Improv"}</definedName>
    <definedName name="wrn.CashFlow._.Budget.">{#N/A,#N/A,FALSE,"FRC";#N/A,#N/A,FALSE,"ExecS";#N/A,#N/A,FALSE,"Summary CF";#N/A,#N/A,FALSE,"Detail CF";#N/A,#N/A,FALSE,"CF Assum";#N/A,#N/A,FALSE,"M Summary CF";#N/A,#N/A,FALSE,"M Detail CF";#N/A,#N/A,FALSE,"OSR";#N/A,#N/A,FALSE,"CTSR";#N/A,#N/A,FALSE,"RTSR";#N/A,#N/A,FALSE,"T Revenue";#N/A,#N/A,FALSE,"RP Trans";#N/A,#N/A,FALSE,"RE Taxes";#N/A,#N/A,FALSE,"S &amp; W";#N/A,#N/A,FALSE,"Cap X";#N/A,#N/A,FALSE,"P Bldg Improv"}</definedName>
    <definedName name="wrn.CD.">{"CD1",#N/A,TRUE,"C-D (R)";"CD2",#N/A,TRUE,"C-D (R)"}</definedName>
    <definedName name="wrn.CGR.">{#N/A,#N/A,TRUE,"SUMMARY";#N/A,#N/A,TRUE,"LAND";#N/A,#N/A,TRUE,"DIRECT COST";#N/A,#N/A,TRUE,"INDIRECT COST";#N/A,#N/A,TRUE,"PERMIT FEES";#N/A,#N/A,TRUE,"ADDITIONAL PROJECT COST";"LOAN CASH FLOWS",#N/A,TRUE,"PROJECT COSTS";"SUBSUBSCHEDULE",#N/A,TRUE,"INCOME SUMMARY";"EARLY TRADING",#N/A,TRUE,"LEASEUP SCEN1 TARGET";#N/A,#N/A,TRUE,"APPENDIX";#N/A,#N/A,TRUE,"PROJECT COMPONENT BREAKDOWN"}</definedName>
    <definedName name="wrn.Chart._.Printouts.">{"2 Area",#N/A,TRUE,"Area";"2 Bar",#N/A,TRUE,"Area";"SSB Bar",#N/A,TRUE,"Area";"2 Stacked Bar",#N/A,TRUE,"Area";"2 Stacked Bar 100",#N/A,TRUE,"Area";"2 Stacked Col",#N/A,TRUE,"Area";"2 Stacked Col 100",#N/A,TRUE,"Area";"2 HiLow",#N/A,TRUE,"Area";"2 Line",#N/A,TRUE,"Area";"2 Scatter",#N/A,TRUE,"Area";"2 ColumnLine",#N/A,TRUE,"Area";"2 ScatterLine",#N/A,TRUE,"Area";"2 Football",#N/A,TRUE,"Area";"2 DAPS",#N/A,TRUE,"Area";"2 Rover",#N/A,TRUE,"Area";"2 Student1",#N/A,TRUE,"Area";"2 Student2",#N/A,TRUE,"Area";"2 Student3",#N/A,TRUE,"Area";"2 Column",#N/A,TRUE,"Area";"2 League",#N/A,TRUE,"Area";"2 Pies",#N/A,TRUE,"Area"}</definedName>
    <definedName name="wrn.checks.">{"Checks",#N/A,FALSE,"Checks"}</definedName>
    <definedName name="wrn.COM.">{"COM",#N/A,FALSE,"800 10th"}</definedName>
    <definedName name="wrn.COM2">{"COM",#N/A,FALSE,"800 10th"}</definedName>
    <definedName name="wrn.COMLAWTC.">{"Commish",#N/A,FALSE,"LAWTC"}</definedName>
    <definedName name="wrn.COMLAWTC2">{"Commish",#N/A,FALSE,"LAWTC"}</definedName>
    <definedName name="wrn.Complete.">{"Cover",#N/A,FALSE,"Cover";"Summary",#N/A,FALSE,"Summarpage";"Assumptions",#N/A,FALSE,"Assumptions";"Earnings",#N/A,FALSE,"Earnings";"CF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Review.">{#N/A,#N/A,FALSE,"Occ and Rate";#N/A,#N/A,FALSE,"PF Input";#N/A,#N/A,FALSE,"Capital Input";#N/A,#N/A,FALSE,"Proforma Five Yr";#N/A,#N/A,FALSE,"Calculations";#N/A,#N/A,FALSE,"Transaction Summary-DTW"}</definedName>
    <definedName name="wrn.Complete.2">{"Cover",#N/A,FALSE,"Cover";"Summary",#N/A,FALSE,"Summarpage";"Assumptions",#N/A,FALSE,"Assumptions";"Earnings",#N/A,FALSE,"Earnings";"CF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nstruction._.Costs.">{"Construction Costs",#N/A,FALSE,"Total Costs"}</definedName>
    <definedName name="wrn.CORNELL._.ANALYSIS.">{#N/A,#N/A,FALSE,"CORNELL SCENARIO COMPARISON";#N/A,#N/A,FALSE,"SUMMARY";#N/A,#N/A,FALSE,"Returns";#N/A,#N/A,FALSE,"Cash Flow";#N/A,#N/A,FALSE,"Pro-Forma";#N/A,#N/A,FALSE,"Rent Roll"}</definedName>
    <definedName name="wrn.Cost._.Studies.">{#N/A,#N/A,FALSE,"CS#1";#N/A,#N/A,FALSE,"CS#2";#N/A,#N/A,FALSE,"CS#3";#N/A,#N/A,FALSE,"CS#4";#N/A,#N/A,FALSE,"CS#5";#N/A,#N/A,FALSE,"CS#6";#N/A,#N/A,FALSE,"CS#7";#N/A,#N/A,FALSE,"CS#7rev";#N/A,#N/A,FALSE,"CS#8"}</definedName>
    <definedName name="wrn.Cottage._.Summary.">{"cot1",#N/A,FALSE,"Cottages";"cot2",#N/A,FALSE,"Cottages";"cot3",#N/A,FALSE,"Cottages"}</definedName>
    <definedName name="wrn.Country._.consolidation.">{#N/A,"Belgium",TRUE,"Country conso graphs";#N/A,"Netherlands",TRUE,"Country conso graphs";#N/A,"Germany",TRUE,"Country conso graphs";#N/A,"France",TRUE,"Country conso graphs";#N/A,"Sweden",TRUE,"Country conso graphs";#N/A,"Denmark",TRUE,"Country conso graphs";#N/A,"UK",TRUE,"Country conso graphs";#N/A,"Italy",TRUE,"Country conso graphs"}</definedName>
    <definedName name="wrn.crossroads." localSheetId="11">{#N/A,#N/A,FALSE,"RENT ROLL";#N/A,#N/A,FALSE,"CAM";#N/A,#N/A,FALSE,"TAXES";#N/A,#N/A,FALSE,"INSURANCE";#N/A,#N/A,FALSE,"HVAC";#N/A,#N/A,FALSE,"MARKETING"}</definedName>
    <definedName name="wrn.crossroads.">{#N/A,#N/A,FALSE,"RENT ROLL";#N/A,#N/A,FALSE,"CAM";#N/A,#N/A,FALSE,"TAXES";#N/A,#N/A,FALSE,"INSURANCE";#N/A,#N/A,FALSE,"HVAC";#N/A,#N/A,FALSE,"MARKETING"}</definedName>
    <definedName name="wrn.cssa.">{#N/A,#N/A,FALSE,"WATCHDSC";#N/A,#N/A,FALSE,"2LOSSMOD";#N/A,#N/A,FALSE,"2LOSS";#N/A,#N/A,FALSE,"DSC";#N/A,#N/A,FALSE,"OPERAT";#N/A,#N/A,FALSE,"ADJUST";#N/A,#N/A,FALSE,"LEASE EXPIRE"}</definedName>
    <definedName name="wrn.data.">{"data",#N/A,FALSE,"INPUT"}</definedName>
    <definedName name="wrn.data5">{"data",#N/A,FALSE,"INPUT"}</definedName>
    <definedName name="wrn.dcf." localSheetId="11">{"mgmt forecast",#N/A,FALSE,"Mgmt Forecast";"dcf table",#N/A,FALSE,"Mgmt Forecast";"sensitivity",#N/A,FALSE,"Mgmt Forecast";"table inputs",#N/A,FALSE,"Mgmt Forecast";"calculations",#N/A,FALSE,"Mgmt Forecast"}</definedName>
    <definedName name="wrn.dcf.">{"mgmt forecast",#N/A,FALSE,"Mgmt Forecast";"dcf table",#N/A,FALSE,"Mgmt Forecast";"sensitivity",#N/A,FALSE,"Mgmt Forecast";"table inputs",#N/A,FALSE,"Mgmt Forecast";"calculations",#N/A,FALSE,"Mgmt Forecast"}</definedName>
    <definedName name="wrn.DCR._.Output.">{"DCR Output",#N/A,FALSE,"Output"}</definedName>
    <definedName name="wrn.demand.">{#N/A,#N/A,FALSE,"III-1 Sum.Dem";#N/A,#N/A,FALSE,"III-2 RER.Dem.Pop";#N/A,#N/A,FALSE,"III-3 RER.Cap.Pop";#N/A,#N/A,FALSE,"III-4 RER.Dem.TCSS";#N/A,#N/A,FALSE,"III-5 RER.Cap.TCSS";#N/A,#N/A,FALSE,"III-6 Pow.Center.Dem";#N/A,#N/A,FALSE,"III-7 Off.Demand";#N/A,#N/A,FALSE,"III-8 Htl.Dem"}</definedName>
    <definedName name="wrn.Demand._.Calcs.">{#N/A,#N/A,FALSE,"Demand Calcs"}</definedName>
    <definedName name="wrn.Demand._.Inputs.">{#N/A,#N/A,FALSE,"Demand Inputs"}</definedName>
    <definedName name="wrn.demographics.">{#N/A,#N/A,FALSE,"pop.hh";#N/A,#N/A,FALSE,"age.dist";#N/A,#N/A,FALSE,"hh.income";#N/A,#N/A,FALSE,"hh.chars"}</definedName>
    <definedName name="wrn.Demos.">{#N/A,#N/A,FALSE,"II-2 POP.HH";#N/A,#N/A,FALSE,"II-3 AGE.DIST";#N/A,#N/A,FALSE,"II-4 HH.DIST";#N/A,#N/A,FALSE,"II-5 EMP.INDUS"}</definedName>
    <definedName name="wrn.detail.">{"detail1",#N/A,FALSE,"Sheet1";"detail2",#N/A,FALSE,"Sheet1";"detail3",#N/A,FALSE,"Sheet1";"detail4",#N/A,FALSE,"Sheet1";"detail5",#N/A,FALSE,"Sheet1";"detail6",#N/A,FALSE,"Sheet1";"detail7",#N/A,FALSE,"Sheet1";"detail8",#N/A,FALSE,"Sheet1";"detail9",#N/A,FALSE,"Sheet1"}</definedName>
    <definedName name="wrn.DETAIL._.SCHEDULES.">{"ACCOUNT DETAIL",#N/A,FALSE,"SCHEDULE E";"ACCOUNT DETAIL",#N/A,FALSE,"SCHEDULE G";"ACCOUNT DETAIL",#N/A,FALSE,"SCHEDULE H";"ACCOUNT DETAIL",#N/A,FALSE,"SCHEDULE I"}</definedName>
    <definedName name="wrn.devdeal.">{"top",#N/A,TRUE,"Detail";"next",#N/A,TRUE,"Detail";"then",#N/A,TRUE,"Detail";"and",#N/A,TRUE,"Detail";"inaddition",#N/A,TRUE,"Detail";"finally",#N/A,TRUE,"Detail"}</definedName>
    <definedName name="wrn.Development." localSheetId="11">{"Construction Costs",#N/A,FALSE,"Budget";"Income Statement",#N/A,FALSE,"Budget"}</definedName>
    <definedName name="wrn.Development.">{"Construction Costs",#N/A,FALSE,"Budget";"Income Statement",#N/A,FALSE,"Budget"}</definedName>
    <definedName name="wrn.Development2" localSheetId="11">{"Construction Costs",#N/A,FALSE,"Budget";"Income Statement",#N/A,FALSE,"Budget"}</definedName>
    <definedName name="wrn.Development2">{"Construction Costs",#N/A,FALSE,"Budget";"Income Statement",#N/A,FALSE,"Budget"}</definedName>
    <definedName name="wrn.Downside.">{"Downside",#N/A,FALSE,"Downside"}</definedName>
    <definedName name="wrn.DRAFT2.">{"SUMMARY1",#N/A,TRUE,"SUMMARY1";"TOTAL PJCT",#N/A,TRUE,"Feasability";"AMC INDRECT",#N/A,TRUE,"Feasability";"PROMANDE",#N/A,TRUE,"Feasability";#N/A,#N/A,TRUE,"DIRECT COST";"new roll 1",#N/A,TRUE,"NEW RENT ROLL";"LOST_RENT",#N/A,TRUE,"Lost rent-buyout";"detail estimate",#N/A,TRUE,"Detail estimate";"PROMEADE SUMMARY",#N/A,TRUE,"PROMENADE COST";"promenade cost",#N/A,TRUE,"PROMENADE COST"}</definedName>
    <definedName name="wrn.Earnings._.Model.">{#N/A,#N/A,FALSE,"Product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B.">{"eb1",#N/A,TRUE,"E-B (R)";"eb2",#N/A,TRUE,"E-B (R)"}</definedName>
    <definedName name="wrn.Ebit.">{"Ebit_detail",#N/A,FALSE,"P&amp;L";"Ebit_division_direct",#N/A,FALSE,"P&amp;L";"Ebit_indirect_allocation",#N/A,FALSE,"P&amp;L";"Ebit_division_indirect",#N/A,FALSE,"P&amp;L";"Ebit_Variance",#N/A,FALSE,"P&amp;L"}</definedName>
    <definedName name="wrn.EC1.">{"eca",#N/A,TRUE,"E-C1 (R)";"ecb",#N/A,TRUE,"E-C1 (R)"}</definedName>
    <definedName name="wrn.ED.">{"ed1",#N/A,TRUE,"E-D";"ed2",#N/A,TRUE,"E-D"}</definedName>
    <definedName name="wrn.Entire._.File." localSheetId="11">{#N/A,#N/A,FALSE,"Base Cash Flow";"End of 1995",#N/A,FALSE,"Sale Year Analysis";"End of 1996",#N/A,FALSE,"Sale Year Analysis";"End of 1997",#N/A,FALSE,"Sale Year Analysis"}</definedName>
    <definedName name="wrn.Entire._.File.">{#N/A,#N/A,FALSE,"Base Cash Flow";"End of 1995",#N/A,FALSE,"Sale Year Analysis";"End of 1996",#N/A,FALSE,"Sale Year Analysis";"End of 1997",#N/A,FALSE,"Sale Year Analysis"}</definedName>
    <definedName name="wrn.ExitAndSalesAssumptions." localSheetId="11">{#N/A,#N/A,FALSE,"ExitStratigy"}</definedName>
    <definedName name="wrn.ExitAndSalesAssumptions.">{#N/A,#N/A,FALSE,"ExitStratigy"}</definedName>
    <definedName name="wrn.Fair._.Share._.Calcs.">{#N/A,#N/A,FALSE,"Fair Share"}</definedName>
    <definedName name="wrn.Fairfield._.Business._.Center.">{#N/A,#N/A,FALSE,"SUMMARY";#N/A,#N/A,FALSE,"Returns";#N/A,#N/A,FALSE,"Pro-Forma";#N/A,#N/A,FALSE,"Cash Flow";#N/A,#N/A,FALSE,"Rent Roll"}</definedName>
    <definedName name="wrn.FCB.">{"FCB_ALL",#N/A,FALSE,"FCB"}</definedName>
    <definedName name="wrn.fcb._dcf">{"FCB_ALL",#N/A,FALSE,"FCB"}</definedName>
    <definedName name="wrn.fcb2">{"FCB_ALL",#N/A,FALSE,"FCB"}</definedName>
    <definedName name="wrn.fcb2_dcf">{"FCB_ALL",#N/A,FALSE,"FCB"}</definedName>
    <definedName name="wrn.FCG." localSheetId="11">{#N/A,#N/A,TRUE,"Title Page";#N/A,#N/A,TRUE,"Executive Summary";#N/A,#N/A,TRUE,"Cash Flow";#N/A,#N/A,TRUE,"Exp Detail";#N/A,#N/A,TRUE,"Pricing Matrix";#N/A,#N/A,TRUE,"Value Matrix";#N/A,#N/A,TRUE,"Assumptions";#N/A,#N/A,TRUE,"Vacant Space";#N/A,#N/A,TRUE,"2nd Generation";#N/A,#N/A,TRUE,"Existing vs Mkt";#N/A,#N/A,TRUE,"Expiration Schedule";#N/A,#N/A,TRUE,"Expiration Graph ";#N/A,#N/A,TRUE,"Residual - Marketing";#N/A,#N/A,TRUE,"Vacancy Detail"}</definedName>
    <definedName name="wrn.FCG.">{#N/A,#N/A,TRUE,"Title Page";#N/A,#N/A,TRUE,"Executive Summary";#N/A,#N/A,TRUE,"Cash Flow";#N/A,#N/A,TRUE,"Exp Detail";#N/A,#N/A,TRUE,"Pricing Matrix";#N/A,#N/A,TRUE,"Value Matrix";#N/A,#N/A,TRUE,"Assumptions";#N/A,#N/A,TRUE,"Vacant Space";#N/A,#N/A,TRUE,"2nd Generation";#N/A,#N/A,TRUE,"Existing vs Mkt";#N/A,#N/A,TRUE,"Expiration Schedule";#N/A,#N/A,TRUE,"Expiration Graph ";#N/A,#N/A,TRUE,"Residual - Marketing";#N/A,#N/A,TRUE,"Vacancy Detail"}</definedName>
    <definedName name="wrn.Feb98.">{"sheet a",#N/A,FALSE,"A";"2 9 casflow",#N/A,FALSE,"B"}</definedName>
    <definedName name="wrn.Final._.Output.">{#N/A,#N/A,FALSE,"Final Output"}</definedName>
    <definedName name="wrn.Finance._.Meeting._.1.">{"Index",#N/A,FALSE,"Index";"Assumptions_country",#N/A,FALSE,"Assump";"Ebit_division_direct",#N/A,FALSE,"P&amp;L";"Reserves",#N/A,FALSE,"Reserves"}</definedName>
    <definedName name="wrn.Finance._.Meeting._.2.">{"Reconciliation",#N/A,FALSE,"Rec";"Ebit_detail",#N/A,FALSE,"P&amp;L";"Cash_summary",#N/A,FALSE,"Cash"}</definedName>
    <definedName name="wrn.FOschedules.">{"FOschedule1",#N/A,FALSE,"Sheet1";"FOschedule2",#N/A,FALSE,"Sheet1";"FOschedule3",#N/A,FALSE,"Sheet1"}</definedName>
    <definedName name="wrn.Foxmeyer.">{#N/A,#N/A,FALSE,"FOXMEYER SCENARIO COMPARISON";#N/A,#N/A,FALSE,"SUMMARY";#N/A,#N/A,FALSE,"Returns";#N/A,#N/A,FALSE,"Cash Flow";#N/A,#N/A,FALSE,"Pro-Forma";#N/A,#N/A,FALSE,"Rent Roll"}</definedName>
    <definedName name="wrn.FULL._.COMPARISON." localSheetId="11">{"Full Sheet",#N/A,FALSE,"Expense Comparison"}</definedName>
    <definedName name="wrn.FULL._.COMPARISON.">{"Full Sheet",#N/A,FALSE,"Expense Comparison"}</definedName>
    <definedName name="wrn.Full._.Report." localSheetId="11">{#N/A,#N/A,TRUE,"Summary";#N/A,#N/A,TRUE,"Development Plan";#N/A,#N/A,TRUE,"Lease Up";#N/A,#N/A,TRUE,"Lease-Up Chart (1)";#N/A,#N/A,TRUE,"Lease-Up Chart (2)";#N/A,#N/A,TRUE,"Ten Year Proforma";#N/A,#N/A,TRUE,"Model Input"}</definedName>
    <definedName name="wrn.Full._.Report.">{#N/A,#N/A,TRUE,"Summary";#N/A,#N/A,TRUE,"Development Plan";#N/A,#N/A,TRUE,"Lease Up";#N/A,#N/A,TRUE,"Lease-Up Chart (1)";#N/A,#N/A,TRUE,"Lease-Up Chart (2)";#N/A,#N/A,TRUE,"Ten Year Proforma";#N/A,#N/A,TRUE,"Model Input"}</definedName>
    <definedName name="wrn.Full_Template." localSheetId="1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wrn.Full_Template.">{#N/A,#N/A,FALSE,"1Summary";#N/A,#N/A,FALSE,"2Assumptions";#N/A,#N/A,FALSE,"3Cash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wrn.Full_Template.2" localSheetId="1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wrn.Full_Template.2">{#N/A,#N/A,FALSE,"1Summary";#N/A,#N/A,FALSE,"2Assumptions";#N/A,#N/A,FALSE,"3Cash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wrn.FY97SBP.">{#N/A,#N/A,FALSE,"FY97";#N/A,#N/A,FALSE,"FY98";#N/A,#N/A,FALSE,"FY99";#N/A,#N/A,FALSE,"FY00";#N/A,#N/A,FALSE,"FY01"}</definedName>
    <definedName name="wrn.Garage.">{#N/A,#N/A,FALSE,"Garage Assumpt 1";#N/A,#N/A,FALSE,"Garage Op Proj";#N/A,#N/A,FALSE,"Hist I&amp;E";#N/A,#N/A,FALSE,"Garage Lease"}</definedName>
    <definedName name="wrn.Go._.Support._.Documents.">{#N/A,#N/A,FALSE,"Input Sheets";#N/A,#N/A,FALSE,"Presentation Page";#N/A,#N/A,FALSE,"Feasibility";#N/A,#N/A,FALSE,"Interest";#N/A,#N/A,FALSE,"Expenses";#N/A,#N/A,FALSE,"Op. Statement";#N/A,#N/A,FALSE,"Dev. Budget";#N/A,#N/A,FALSE,"Unit Mix";#N/A,#N/A,FALSE,"Assumptions"}</definedName>
    <definedName name="wrn.Golf._.Summary.">{"View1",#N/A,FALSE,"Golf";"View2",#N/A,FALSE,"Golf";"View3",#N/A,FALSE,"Golf";"View4",#N/A,FALSE,"Golf";"View5",#N/A,FALSE,"Golf";"View6",#N/A,FALSE,"Golf";"View7",#N/A,FALSE,"Golf";"View8",#N/A,FALSE,"Golf";"View9",#N/A,FALSE,"Golf";"View10",#N/A,FALSE,"Golf";"View11",#N/A,FALSE,"Golf";"View12",#N/A,FALSE,"Golf"}</definedName>
    <definedName name="wrn.Graphs.">{#N/A,"Kungens Kurva",TRUE,"Graphs";#N/A,"Täby",TRUE,"Graphs";#N/A,"Jaokobsberg",TRUE,"Graphs";#N/A,"Rissne",TRUE,"Graphs";#N/A,"Uppsala",TRUE,"Graphs";#N/A,"Södermalm",TRUE,"Graphs";#N/A,"Handen",TRUE,"Graphs";#N/A,"Solna",TRUE,"Graphs";#N/A,"Mölndal",TRUE,"Graphs";#N/A,"Lundavägen",TRUE,"Graphs";#N/A,"Moraberg",TRUE,"Graphs";#N/A,"Upplands Väsby",TRUE,"Graphs";#N/A,"Minelund",TRUE,"Graphs";#N/A,"Ystavägen",TRUE,"Graphs";#N/A,"Sköndal",TRUE,"Graphs";#N/A,"Västra Frölunda",TRUE,"Graphs";#N/A,"Lund",TRUE,"Graphs";#N/A,"Högdalen",TRUE,"Graphs";#N/A,"Danderyd",TRUE,"Graphs";#N/A,"Helsingborg",TRUE,"Graphs";#N/A,"Årstaberg",TRUE,"Graphs";#N/A,"Total",TRUE,"Graphs"}</definedName>
    <definedName name="wrn.GSA._.PRINT.">{#N/A,#N/A,FALSE,"DEV COSTS";#N/A,#N/A,FALSE,"10-YR C. F."}</definedName>
    <definedName name="wrn.gsa._PRINT5">{#N/A,#N/A,FALSE,"DEV COSTS";#N/A,#N/A,FALSE,"10-YR C. F."}</definedName>
    <definedName name="wrn.Hanover._.Portfolio._.Info..">{"Hanover Investment",#N/A,FALSE,"Wells Info";"Sponsor Investment/Return",#N/A,FALSE,"Wells Info";"Capital Structure",#N/A,FALSE,"Wells Info";"Operations/Value",#N/A,FALSE,"Wells Info";"Hanover Returns",#N/A,FALSE,"Wells Info"}</definedName>
    <definedName name="wrn.Hold._.Sell.">{#N/A,#N/A,FALSE,"13Residual 2007";#N/A,#N/A,FALSE,"14Residual 2008";#N/A,#N/A,FALSE,"15Residual 2009";#N/A,#N/A,FALSE,"16Residual 2010";#N/A,#N/A,FALSE,"17Residual 2011";#N/A,#N/A,FALSE,"18Hold Disposition Matrix";#N/A,#N/A,FALSE,"19Other Disposition Matrix"}</definedName>
    <definedName name="wrn.III.">{"CASHFLOW",#N/A,FALSE,"Northpointe"}</definedName>
    <definedName name="wrn.Income._.Statements.">{#N/A,#N/A,FALSE,"Consol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wrn.Inputs.">{#N/A,#N/A,FALSE,"Input"}</definedName>
    <definedName name="wrn.Instructor._.Tips.">{"Area 1",#N/A,TRUE,"Area";"Bar 1",#N/A,TRUE,"Area";"Salomon Bar 1",#N/A,TRUE,"Area";"Stacked Bar 1",#N/A,TRUE,"Area";"Stacked Bar 100 1",#N/A,TRUE,"Area";"Stacked Col 1",#N/A,TRUE,"Area";"Stacked Col 100 1",#N/A,TRUE,"Area";"HiLow 1",#N/A,TRUE,"Area";"Line 1",#N/A,TRUE,"Area";"Scatter 1",#N/A,TRUE,"Area";"ColLine 1",#N/A,TRUE,"Area";"Scatterline 1",#N/A,TRUE,"Area";"Football 1",#N/A,TRUE,"Area";"DAPS 1",#N/A,TRUE,"Area";"Rover 1",#N/A,TRUE,"Area";"Exchange 1",#N/A,TRUE,"Area";"Histogram 1",#N/A,TRUE,"Area";"Price Vol 1",#N/A,TRUE,"Area";"Interactive 1",#N/A,TRUE,"Area";"Column 1",#N/A,TRUE,"Area";"League 1",#N/A,TRUE,"Area";"Pie 1",#N/A,TRUE,"Area"}</definedName>
    <definedName name="wrn.INTERNAL._.COST.">{"COST.PROFIT",#N/A,TRUE,"Cost.profit";"DDCOHEAD",#N/A,TRUE,"D,D&amp;C overhead"}</definedName>
    <definedName name="wrn.Investment._.Review.">{#N/A,#N/A,FALSE,"Proforma Five Yr";#N/A,#N/A,FALSE,"Capital Input";#N/A,#N/A,FALSE,"Calculations";#N/A,#N/A,FALSE,"Transaction Summary-DTW"}</definedName>
    <definedName name="wrn.Invoice." localSheetId="11">{"Invoice",#N/A,FALSE,"Invoice &amp; AP"}</definedName>
    <definedName name="wrn.Invoice.">{"Invoice",#N/A,FALSE,"Invoice &amp; AP"}</definedName>
    <definedName name="wrn.jan._.98.">{"sheet a",#N/A,FALSE,"A";"sheet b 1",#N/A,FALSE,"B";"sheet b 2",#N/A,FALSE,"B"}</definedName>
    <definedName name="wrn.Land._.Takedown._.Summary.">{"land1",#N/A,FALSE,"Land";"land2",#N/A,FALSE,"Land";"land3",#N/A,FALSE,"Land"}</definedName>
    <definedName name="wrn.Latent._.Demand._.Inputs.">{#N/A,#N/A,FALSE,"Latent"}</definedName>
    <definedName name="wrn.LETTERED.">{"HEITMAN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rn.LoanInformation." localSheetId="11">{#N/A,#N/A,FALSE,"LoanAssumptions"}</definedName>
    <definedName name="wrn.LoanInformation.">{#N/A,#N/A,FALSE,"LoanAssumptions"}</definedName>
    <definedName name="wrn.Lot._.Inventory.">{"lot inventory",#N/A,FALSE,"Lot List"}</definedName>
    <definedName name="wrn.Lot._.Summary.">{"Lot Prices",#N/A,FALSE,"LOTS-PRICING";"lot1",#N/A,FALSE,"Lots";"lot2",#N/A,FALSE,"Lots";"Lot3",#N/A,FALSE,"Lots";"lot4",#N/A,FALSE,"Lots";"lot5",#N/A,FALSE,"Lots";"lot6",#N/A,FALSE,"Lots";"lot7",#N/A,FALSE,"Lots";"lot8",#N/A,FALSE,"Lots";"lot9",#N/A,FALSE,"Lots";"lot10",#N/A,FALSE,"Lots";"lot11",#N/A,FALSE,"Lots";"lot12",#N/A,FALSE,"Lots"}</definedName>
    <definedName name="wrn.LOWY._.REPORT.">{"TITLE",#N/A,TRUE,"TITLE SHEET";"cover_sheet",#N/A,TRUE,"COVER SHHET";"PROFOMA",#N/A,TRUE,"Feasability";"DRTSMRY",#N/A,TRUE,"DIRECT COST";"NEW_ROLL",#N/A,TRUE,"NEW RENT ROLL";"LOST_RENT",#N/A,TRUE,"Lost rent-buyout"}</definedName>
    <definedName name="wrn.LTV._.Output.">{"LTV Output",#N/A,FALSE,"Output"}</definedName>
    <definedName name="wrn.market.">{#N/A,#N/A,FALSE,"SUBMKT";#N/A,#N/A,FALSE,"MARKET";#N/A,#N/A,FALSE,"VACANCY";#N/A,#N/A,FALSE,"ABSORB";#N/A,#N/A,FALSE,"SUBLEASE";#N/A,#N/A,FALSE,"CONSTRCT"}</definedName>
    <definedName name="wrn.Market._.Values.">{#N/A,#N/A,TRUE,"10 Yr Hold";#N/A,#N/A,TRUE,"7 Yr Hold";#N/A,#N/A,TRUE,"5 Yr Hold";#N/A,#N/A,TRUE,"3 Yr Hold"}</definedName>
    <definedName name="wrn.MARKETING.">{#N/A,#N/A,FALSE,"MARKETING I";#N/A,#N/A,FALSE,"MARKETING II";#N/A,#N/A,FALSE,"MARKETING III"}</definedName>
    <definedName name="wrn.MATRICES._.and._.CFs.">{#N/A,#N/A,FALSE,"Assumptions";#N/A,#N/A,FALSE,"Consol CF";#N/A,#N/A,FALSE,"matx B4 DS";#N/A,#N/A,FALSE,"Hacienda CF";#N/A,#N/A,FALSE,"matx B4 DS Hac";#N/A,#N/A,FALSE,"Chabot CF";#N/A,#N/A,FALSE,"matx B4 DS Chabot";#N/A,#N/A,FALSE,"Diablo CF";#N/A,#N/A,FALSE,"matx B4 DS Diablo"}</definedName>
    <definedName name="wrn.MATRICIES._.ONLY.">{#N/A,#N/A,FALSE,"matx B4 DS";#N/A,#N/A,FALSE,"matx B4 DS Hac";#N/A,#N/A,FALSE,"matx B4 DS Chabot";#N/A,#N/A,FALSE,"matx B4 DS Diablo"}</definedName>
    <definedName name="wrn.MINRENT.">{"MINRENT2",#N/A,FALSE,"SCHEDULE B"}</definedName>
    <definedName name="wrn.model.">{"years",#N/A,FALSE,"UDR_INC";"9899qtrs",#N/A,FALSE,"UDR_INC";"9798qtrs",#N/A,FALSE,"UDR_INC"}</definedName>
    <definedName name="wrn.MODEL5">{"IS",#N/A,FALSE,"Income Statement";"ISR",#N/A,FALSE,"Income Statement Ratios";"BS",#N/A,FALSE,"Balance Sheet";"BSR",#N/A,FALSE,"Balance Sheet Ratios";"CF",#N/A,FALSE,"Cash Flow";"SALES",#N/A,FALSE,"Sales Analysis";"RR",#N/A,FALSE,"Recent Results"}</definedName>
    <definedName name="wrn.MonthlyRentRoll." localSheetId="11">{"MonthlyRentRoll",#N/A,FALSE,"RentRoll"}</definedName>
    <definedName name="wrn.MonthlyRentRoll.">{"MonthlyRentRoll",#N/A,FALSE,"RentRoll"}</definedName>
    <definedName name="wrn.new.">{#N/A,#N/A,FALSE,"Impl";#N/A,#N/A,FALSE,"sum";#N/A,#N/A,FALSE,"cat";#N/A,#N/A,FALSE,"cum";#N/A,#N/A,FALSE,"varity";#N/A,#N/A,FALSE,"ddc";#N/A,#N/A,FALSE,"man";#N/A,#N/A,FALSE,"metra";#N/A,#N/A,FALSE,"volvo"}</definedName>
    <definedName name="wrn.NoAptRR.">{#N/A,#N/A,FALSE,"AptStabYr";#N/A,#N/A,FALSE,"Hard Costs";#N/A,#N/A,FALSE,"Project Costs ";#N/A,#N/A,FALSE,"Draw M1-18";#N/A,#N/A,FALSE,"LeaseUpHotel";#N/A,#N/A,FALSE,"Apt10YrCF";#N/A,#N/A,FALSE,"Hotel CF";#N/A,#N/A,FALSE,"LeaseUpApt"}</definedName>
    <definedName name="wrn.Occupancy._.Calcs.">{#N/A,#N/A,FALSE,"Occ. Calcs"}</definedName>
    <definedName name="wrn.One._.Partner.">{#N/A,#N/A,FALSE,"graph one partner";#N/A,#N/A,FALSE,"Summary Quick Report";#N/A,#N/A,FALSE,"PROJECT  NPV E93";#N/A,#N/A,FALSE,"Project IRR G93";#N/A,#N/A,FALSE,"GENTRY NPV E94";#N/A,#N/A,FALSE,"Gentry IRR G94";#N/A,#N/A,FALSE,"PARTNER NPV E95";#N/A,#N/A,FALSE,"PARTNER IRR G95";#N/A,#N/A,FALSE,"Input Graphs";#N/A,#N/A,FALSE,"Variables &amp; Summary";#N/A,#N/A,FALSE,"cf one partner";#N/A,#N/A,FALSE,"1 design-constr timing";#N/A,#N/A,FALSE,"5 - construction budget";#N/A,#N/A,FALSE,"6 - residential grading";#N/A,#N/A,FALSE,"7-land takedowns";#N/A,#N/A,FALSE,"8-lear siegler dev rights";#N/A,#N/A,FALSE,"parcel summary"}</definedName>
    <definedName name="wrn.OperatingAssumtions." localSheetId="11">{#N/A,#N/A,FALSE,"OperatingAssumptions"}</definedName>
    <definedName name="wrn.OperatingAssumtions.">{#N/A,#N/A,FALSE,"OperatingAssumptions"}</definedName>
    <definedName name="wrn.Operations._.Review.">{#N/A,#N/A,FALSE,"Proforma Five Yr";#N/A,#N/A,FALSE,"Occ and Rate";#N/A,#N/A,FALSE,"PF Input";#N/A,#N/A,FALSE,"Hotcomps"}</definedName>
    <definedName name="wrn.Output3Column.">{"Output-3Column",#N/A,FALSE,"Output"}</definedName>
    <definedName name="wrn.OutputAll.">{"Output-All",#N/A,FALSE,"Output"}</definedName>
    <definedName name="wrn.OutputBaseYear.">{"Output-BaseYear",#N/A,FALSE,"Output"}</definedName>
    <definedName name="wrn.OutputMin.">{"Output-Min",#N/A,FALSE,"Output"}</definedName>
    <definedName name="wrn.OutputPercent.">{"Output%",#N/A,FALSE,"Output"}</definedName>
    <definedName name="wrn.Owner._.Copy.">{#N/A,#N/A,FALSE,"H1a";#N/A,#N/A,FALSE,"H1b";#N/A,#N/A,FALSE,"H1c";#N/A,#N/A,FALSE,"H1d";#N/A,#N/A,FALSE,"H1e";#N/A,#N/A,FALSE,"H1f"}</definedName>
    <definedName name="wrn.PACKAGE.">{#N/A,#N/A,TRUE,"COVER";#N/A,#N/A,TRUE,"PROFORMA";#N/A,#N/A,TRUE,"Construction CF";#N/A,#N/A,TRUE,"CASHFLOW"}</definedName>
    <definedName name="wrn.PARTIAL.">{"new",#N/A,FALSE,"D";"PROFORMA",#N/A,FALSE,"A";"partial 1",#N/A,FALSE,"B";"partial 2",#N/A,FALSE,"B";"partial 3",#N/A,FALSE,"B";"SMALL CF 1",#N/A,FALSE,"C"}</definedName>
    <definedName name="wrn.Penetration.">{#N/A,#N/A,FALSE,"Mkt Pen"}</definedName>
    <definedName name="wrn.PERCENTAGE._.RENT.">{"PERCENTAGE RENT",#N/A,TRUE,"SCHEDULE B"}</definedName>
    <definedName name="wrn.Phase._.I.">{#N/A,#N/A,FALSE,"Transaction Summary-DTW";#N/A,#N/A,FALSE,"Proforma Five Yr";#N/A,#N/A,FALSE,"Occ and Rate"}</definedName>
    <definedName name="wrn.Plan.">{#N/A,#N/A,FALSE,"Highridge Return Analysis";#N/A,#N/A,FALSE,"Sale @ end of year 3 (4yr Plan)";#N/A,#N/A,FALSE,"Highridge Assumption Page"}</definedName>
    <definedName name="wrn.PRES_OUT.">{"page1",#N/A,FALSE,"PRESENTATION";"page2",#N/A,FALSE,"PRESENTATION";#N/A,#N/A,FALSE,"Valuation Summary"}</definedName>
    <definedName name="wrn.Presentation." localSheetId="11">{#N/A,#N/A,TRUE,"Summary";"AnnualRentRoll",#N/A,TRUE,"RentRoll";#N/A,#N/A,TRUE,"ExitStratigy";#N/A,#N/A,TRUE,"OperatingAssumptions"}</definedName>
    <definedName name="wrn.Presentation.">{#N/A,#N/A,TRUE,"Summary";"AnnualRentRoll",#N/A,TRUE,"RentRoll";#N/A,#N/A,TRUE,"ExitStratigy";#N/A,#N/A,TRUE,"OperatingAssumptions"}</definedName>
    <definedName name="wrn.Pricing._.Strategy.">{#N/A,#N/A,FALSE,"1Summary";#N/A,#N/A,FALSE,"2Assumptions";#N/A,#N/A,FALSE,"3Cash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definedName>
    <definedName name="wrn.Primary._.Competition.">{#N/A,#N/A,FALSE,"Primary"}</definedName>
    <definedName name="wrn.print.">{"page1",#N/A,FALSE,"PROFORMA";"page2",#N/A,FALSE,"PROFORMA";"page3",#N/A,FALSE,"PROFORMA";"page4",#N/A,FALSE,"PROFORMA";"page5",#N/A,FALSE,"PROFORMA";"page6",#N/A,FALSE,"PROFORMA";"page7",#N/A,FALSE,"PROFORMA";"page8",#N/A,FALSE,"PROFORMA"}</definedName>
    <definedName name="wrn.Print._.4.">{"Outflow 1",#N/A,FALSE,"Outflows-Inflows";"Outflow 2",#N/A,FALSE,"Outflows-Inflows";"Inflow 1",#N/A,FALSE,"Outflows-Inflows";"Inflow 2",#N/A,FALSE,"Outflows-Inflows"}</definedName>
    <definedName name="wrn.Print._.6.">{"print 1.6",#N/A,FALSE,"Sheet1";"print 2.6",#N/A,FALSE,"Sheet1";"print 3.6",#N/A,FALSE,"Sheet1";"print 4.6",#N/A,FALSE,"Sheet1";"print 5.6",#N/A,FALSE,"Sheet1";"print 6.6",#N/A,FALSE,"Sheet1"}</definedName>
    <definedName name="wrn.Print._.All.">{"Regency",#N/A,FALSE,"Consolidated";"Laurel",#N/A,FALSE,"Consolidated";"Consolidated Unlevered",#N/A,FALSE,"Consolidated";"Consolidated Levered",#N/A,FALSE,"Consolidated"}</definedName>
    <definedName name="wrn.Print._.All._.Improved._.Sales.">{#N/A,#N/A,FALSE,"Sale 1";#N/A,#N/A,FALSE,"Sale 2";#N/A,#N/A,FALSE,"Sale 3";#N/A,#N/A,FALSE,"Sale 4";#N/A,#N/A,FALSE,"Sale 5";#N/A,#N/A,FALSE,"Sale 6";#N/A,#N/A,FALSE,"Sale 7";#N/A,#N/A,FALSE,"Sale 8";#N/A,#N/A,FALSE,"Sale 9";#N/A,#N/A,FALSE,"Sale 10";#N/A,#N/A,FALSE,"Sale 11";#N/A,#N/A,FALSE,"Sale 12"}</definedName>
    <definedName name="wrn.Print._.All._.Report._.Pages.">{#N/A,#N/A,FALSE,"Executive Summary Page 1";#N/A,#N/A,FALSE,"Executive Summary Page 2";#N/A,#N/A,FALSE,"Executive Summary Page 3";#N/A,#N/A,FALSE,"DCF Assumptions Exhibit";#N/A,#N/A,FALSE,"Metro Profile";#N/A,#N/A,FALSE,"Metro Employment";#N/A,#N/A,FALSE,"Cap &amp; Disc Rate";#N/A,#N/A,FALSE,"Retail Sales";#N/A,#N/A,FALSE,"Tax Exhibit";#N/A,#N/A,FALSE,"Operating Statement";#N/A,#N/A,FALSE,"Direct Cap";#N/A,#N/A,FALSE,"SCG Summary";#N/A,#N/A,FALSE,"Improved Sales Adj. Grid";#N/A,#N/A,FALSE,"Regression Analysis";#N/A,#N/A,FALSE,"Land Sales Adj. Grid";#N/A,#N/A,FALSE,"Cost Schedule"}</definedName>
    <definedName name="wrn.Print._.DDC.">{"TopSum",#N/A,FALSE,"Summary";"Core",#N/A,FALSE,"Core";"Development",#N/A,FALSE,"Development";"Design",#N/A,FALSE,"Design";"Tenant_Coord",#N/A,FALSE,"Tenant Coordination";"Construct",#N/A,FALSE,"Construction";"Site",#N/A,FALSE,"Site"}</definedName>
    <definedName name="wrn.Print._.Entire._.Workbook.">{"Assumptions",#N/A,TRUE,"Assumptions";"qtrl1",#N/A,TRUE,"Annual Summary";"qtrl2",#N/A,TRUE,"Annual Summary";"qtrl3",#N/A,TRUE,"Annual Summary";"qtrl4",#N/A,TRUE,"QTLY Summary";"qtrl5",#N/A,TRUE,"QTLY Summary";"qtrl6",#N/A,TRUE,"QTLY Summary";"Lot Prices",#N/A,TRUE,"Annual Summary";"Construction Costs",#N/A,TRUE,"Annual Summary";"land1",#N/A,TRUE,"Annual Summary";"land2",#N/A,TRUE,"Annual Summary";"land3",#N/A,TRUE,"Annual Summary";"lot1",#N/A,TRUE,"Annual Summary";"lot2",#N/A,TRUE,"Annual Summary";"Lot3",#N/A,TRUE,"Annual Summary";"lot4",#N/A,TRUE,"Annual Summary";"lot5",#N/A,TRUE,"Annual Summary";"lot6",#N/A,TRUE,"Annual Summary";"lot7",#N/A,TRUE,"Annual Summary";"lot8",#N/A,TRUE,"Annual Summary";"lot9",#N/A,TRUE,"Annual Summary";"lot10",#N/A,TRUE,"Annual Summary";"lot11",#N/A,TRUE,"Annual Summary";"lot12",#N/A,TRUE,"Annual Summary";"lot inventory",#N/A,TRUE,"Annual Summary";"scen1",#N/A,TRUE,"Annual Summary";"scen2",#N/A,TRUE,"Annual Summary";"View1",#N/A,TRUE,"Annual Summary";"View2",#N/A,TRUE,"Annual Summary";"View3",#N/A,TRUE,"Annual Summary";"View4",#N/A,TRUE,"Annual Summary";"View5",#N/A,TRUE,"Annual Summary";"View6",#N/A,TRUE,"Annual Summary";"View7",#N/A,TRUE,"Annual Summary";"View8",#N/A,TRUE,"Annual Summary";"View9",#N/A,TRUE,"Annual Summary";"View10",#N/A,TRUE,"Annual Summary";"View11",#N/A,TRUE,"Annual Summary";"View12",#N/A,TRUE,"Annual Summary";"cot1",#N/A,TRUE,"Annual Summary";"cot2",#N/A,TRUE,"Annual Summary";"cot3",#N/A,TRUE,"Annual Summary"}</definedName>
    <definedName name="wrn.print._.graphs.">{"cap_structure",#N/A,FALSE,"Graph-Mkt Cap";"price",#N/A,FALSE,"Graph-Price";"ebit",#N/A,FALSE,"Graph-EBITDA";"ebitda",#N/A,FALSE,"Graph-EBITDA"}</definedName>
    <definedName name="wrn.Print._.It.">{#N/A,#N/A,TRUE,"base case";#N/A,#N/A,TRUE,"valuation";#N/A,#N/A,TRUE,"sources and uses";#N/A,#N/A,TRUE,"recapitalization";#N/A,#N/A,TRUE,"flowchart";#N/A,#N/A,TRUE,"summary";#N/A,#N/A,TRUE,"sensitivities";#N/A,#N/A,TRUE,"pro forma";#N/A,#N/A,TRUE,"PAC shares"}</definedName>
    <definedName name="wrn.print._.raw._.data._.entry.">{"inputs raw data",#N/A,TRUE,"INPUT"}</definedName>
    <definedName name="wrn.Print._.Rent._.Comps.">{#N/A,#N/A,FALSE,"Rent 1";#N/A,#N/A,FALSE,"Rent 2";#N/A,#N/A,FALSE,"Rent 3";#N/A,#N/A,FALSE,"Rent 4";#N/A,#N/A,FALSE,"Rent 5";#N/A,#N/A,FALSE,"Rent 6";#N/A,#N/A,FALSE,"Rent 7";#N/A,#N/A,FALSE,"Rent 8"}</definedName>
    <definedName name="wrn.Print._.Summary.">{"Consolidated Unlevered",#N/A,FALSE,"Consolidated";"Consolidated Levered",#N/A,FALSE,"Consolidated"}</definedName>
    <definedName name="wrn.print._.summary._.sheets.">{"summary1",#N/A,TRUE,"Comps";"summary2",#N/A,TRUE,"Comps";"summary3",#N/A,TRUE,"Comps"}</definedName>
    <definedName name="wrn.Print._.Title._.and._.Contents.">{#N/A,#N/A,FALSE,"Title";#N/A,#N/A,FALSE,"Table"}</definedName>
    <definedName name="wrn.print2.">{"Assump",#N/A,TRUE,"Proforma";"first",#N/A,TRUE,"Proforma";"second",#N/A,TRUE,"Proforma";"lease1",#N/A,TRUE,"Proforma";"lease2",#N/A,TRUE,"Proforma"}</definedName>
    <definedName name="wrn.print5">{"Assump",#N/A,TRUE,"Proforma";"first",#N/A,TRUE,"Proforma";"second",#N/A,TRUE,"Proforma";"lease1",#N/A,TRUE,"Proforma";"lease2",#N/A,TRUE,"Proforma"}</definedName>
    <definedName name="wrn.PrintAll." localSheetId="11">{#N/A,#N/A,FALSE,"Broker Sheet";#N/A,#N/A,FALSE,"Exec.Summary";#N/A,#N/A,FALSE,"Argus Cash Flow";#N/A,#N/A,FALSE,"SPF";#N/A,#N/A,FALSE,"RentRoll"}</definedName>
    <definedName name="wrn.PrintAll.">{#N/A,#N/A,FALSE,"Broker Sheet";#N/A,#N/A,FALSE,"Exec.Summary";#N/A,#N/A,FALSE,"Argus Cash Flow";#N/A,#N/A,FALSE,"SPF";#N/A,#N/A,FALSE,"RentRoll"}</definedName>
    <definedName name="wrn.PRO.">{#N/A,#N/A,FALSE,"COVER";#N/A,#N/A,FALSE,"Construction CF";#N/A,#N/A,FALSE,"PROFORMA";#N/A,#N/A,FALSE,"CASHFLOW"}</definedName>
    <definedName name="wrn.Pro._.Forma." localSheetId="11">{#N/A,#N/A,FALSE,"ACQ";#N/A,#N/A,FALSE,"ASSUMP";#N/A,#N/A,FALSE,"CASH FLOW";#N/A,#N/A,FALSE,"SALE";#N/A,#N/A,FALSE,"TIS";#N/A,#N/A,FALSE,"RENT ROLL"}</definedName>
    <definedName name="wrn.Pro._.Forma.">{#N/A,#N/A,FALSE,"ACQ";#N/A,#N/A,FALSE,"ASSUMP";#N/A,#N/A,FALSE,"CASH FLOW";#N/A,#N/A,FALSE,"SALE";#N/A,#N/A,FALSE,"TIS";#N/A,#N/A,FALSE,"RENT ROLL"}</definedName>
    <definedName name="wrn.Proforma.">{#N/A,#N/A,TRUE,"Summary";#N/A,#N/A,TRUE,"InPlace";#N/A,#N/A,TRUE,"Stable";#N/A,#N/A,TRUE,"RentRoll";#N/A,#N/A,TRUE,"I&amp;E";#N/A,#N/A,TRUE,"Expense Detail";#N/A,#N/A,TRUE,"CAM Recov(InPlace)";#N/A,#N/A,TRUE,"CAM Recov(Stable)";#N/A,#N/A,TRUE,"Tax Recov";#N/A,#N/A,TRUE,"Expiration";#N/A,#N/A,TRUE,"Sales";#N/A,#N/A,TRUE,"Tax"}</definedName>
    <definedName name="wrn.Proforma._.Review.">{#N/A,#N/A,FALSE,"Occ and Rate";#N/A,#N/A,FALSE,"PF Input";#N/A,#N/A,FALSE,"Proforma Five Yr";#N/A,#N/A,FALSE,"Hotcomps"}</definedName>
    <definedName name="wrn.Projects._.1.">{"Project_details",#N/A,FALSE,"Projects";"Project_checks",#N/A,FALSE,"Projects";"Project_completion",#N/A,FALSE,"Projects"}</definedName>
    <definedName name="wrn.Projects._.2.">{"Project_profit",#N/A,FALSE,"Projects";"Project_reserves",#N/A,FALSE,"Project Reserves"}</definedName>
    <definedName name="wrn.PropertyInformation." localSheetId="11">{#N/A,#N/A,FALSE,"PropertyInfo"}</definedName>
    <definedName name="wrn.PropertyInformation.">{#N/A,#N/A,FALSE,"PropertyInfo"}</definedName>
    <definedName name="wrn.Pulp.">{"Pulp Production",#N/A,FALSE,"Pulp";"Pulp Earnings",#N/A,FALSE,"Pulp"}</definedName>
    <definedName name="wrn.Pulp.2">{"Pulp Production",#N/A,FALSE,"Pulp";"Pulp Earnings",#N/A,FALSE,"Pulp"}</definedName>
    <definedName name="wrn.Pulp.3">{"Pulp Production",#N/A,FALSE,"Pulp";"Pulp Earnings",#N/A,FALSE,"Pulp"}</definedName>
    <definedName name="wrn.Quarterly._.Summary.">{"qtrl1",#N/A,TRUE,"Annual Summary";"qtrl2",#N/A,TRUE,"Annual Summary";"qtrl3",#N/A,TRUE,"Annual Summary";"qtrl4",#N/A,TRUE,"QTLY Summary";"qtrl5",#N/A,TRUE,"QTLY Summary";"qtrl6",#N/A,TRUE,"QTLY Summary"}</definedName>
    <definedName name="wrn.Rapport.">{#N/A,#N/A,FALSE,"SHEET1";#N/A,#N/A,FALSE,"SHEET2";#N/A,#N/A,FALSE,"SHEET3";#N/A,#N/A,FALSE,"SHEET4"}</definedName>
    <definedName name="wrn.RATES.">{"RATES",#N/A,FALSE,"RECOVERY RATES";"CONTRIBUTIONS",#N/A,FALSE,"RECOVERY RATES";"GLA CATEGORY SUMMARY",#N/A,FALSE,"RECOVERY RATES"}</definedName>
    <definedName name="wrn.Relevant._.Sections.">{#N/A,#N/A,FALSE,"Summary";#N/A,#N/A,FALSE,"Program Scheme";#N/A,#N/A,FALSE,"Assumptions";#N/A,#N/A,FALSE,"Development Budget";#N/A,#N/A,FALSE,"Timing";#N/A,#N/A,FALSE,"Development Costs &amp; Revenues";#N/A,#N/A,FALSE,"Cash Flow to Debt &amp; Equity"}</definedName>
    <definedName name="wrn.RENTROL.">{#N/A,#N/A,FALSE,"RENT ROLL"}</definedName>
    <definedName name="wrn.RentRoll.">{"CurrentRentRoll",#N/A,FALSE,"Graph &amp; Rent Roll"}</definedName>
    <definedName name="wrn.Report.">{#N/A,#N/A,FALSE,"Loan Summary";#N/A,#N/A,FALSE,"NOI";"RR and Expir",#N/A,FALSE,"Rental";"Sales History",#N/A,FALSE,"Rental";#N/A,#N/A,FALSE,"Reserves"}</definedName>
    <definedName name="wrn.Report._.Detail.">{#N/A,#N/A,FALSE,"Recon of Schedules to BS";#N/A,#N/A,FALSE,"Reconciliation";#N/A,#N/A,FALSE,"Summary";#N/A,#N/A,FALSE,"Recon of GenLedg to Detail";#N/A,#N/A,FALSE,"Atlanta";#N/A,#N/A,FALSE,"Columbia";#N/A,#N/A,FALSE,"Greensboro - Winston-Salem";#N/A,#N/A,FALSE,"Memphis";#N/A,#N/A,FALSE,"Nashville";#N/A,#N/A,FALSE,"Raleigh";#N/A,#N/A,FALSE,"Richmond"}</definedName>
    <definedName name="wrn.Report1.">{#N/A,#N/A,FALSE,"Summary";#N/A,#N/A,FALSE,"Assumptions";#N/A,#N/A,FALSE,"Cash Flow";#N/A,#N/A,FALSE,"Residual Calculation";#N/A,#N/A,FALSE,"Pricing Matrix";#N/A,#N/A,FALSE,"Pricing Matrix II";#N/A,#N/A,FALSE,"Expiration Schedule"}</definedName>
    <definedName name="wrn.Report5">{#N/A,#N/A,FALSE,"Summary";#N/A,#N/A,FALSE,"Assumptions";#N/A,#N/A,FALSE,"Cash Flow";#N/A,#N/A,FALSE,"Residual Calculation";#N/A,#N/A,FALSE,"Pricing Matrix";#N/A,#N/A,FALSE,"Pricing Matrix II";#N/A,#N/A,FALSE,"Expiration Schedule"}</definedName>
    <definedName name="wrn.Reserves.">{"Reserves",#N/A,FALSE,"Reserves";"Reserves_Variance",#N/A,FALSE,"Reserves"}</definedName>
    <definedName name="wrn.Review._.File.">{"Venture Summary",#N/A,FALSE,"Summary";"Sensitivity Tables",#N/A,FALSE,"Summary";"Argus Assumptions",#N/A,FALSE,"Bldg Info";"Annual",#N/A,FALSE,"Annual";"Development Budget",#N/A,FALSE,"Summary";"DevPF",#N/A,FALSE,"Dev PF"}</definedName>
    <definedName name="wrn.Revised._.project._.estimate.">{"Budget",#N/A,TRUE,"Budget";"direct_cost",#N/A,TRUE,"Construction";"Preliminaries",#N/A,TRUE,"Preliminaries";"cap_int",#N/A,TRUE,"Cap Int";"oncost_totals",#N/A,TRUE,"Project Staff";"FY_94",#N/A,TRUE,"Project Staff";"FY_95",#N/A,TRUE,"Project Staff";"FY_96",#N/A,TRUE,"Project Staff";"FY_97",#N/A,TRUE,"Project Staff";"T_A",#N/A,TRUE,"T &amp; A";"Site_vs_LA",#N/A,TRUE,"Site vs HO Staff"}</definedName>
    <definedName name="wrn.RRDOMINION._.TOWER." localSheetId="11">{#N/A,#N/A,FALSE,"Title Pg.- Summary of Rent Roll";#N/A,#N/A,FALSE,"SUMMARY OF RENT ROLL";#N/A,#N/A,FALSE,"SUMMARY OF FLOOR AREAS";#N/A,#N/A,FALSE,"Title Pg. - Rent Roll";#N/A,#N/A,FALSE,"RETAIL SECTION";#N/A,#N/A,FALSE,"OFFICES";#N/A,#N/A,FALSE,"STORAGE";#N/A,#N/A,FALSE,"MISCELLANEOUS";#N/A,#N/A,FALSE,"Title Pg.Rental Income Analysis";#N/A,#N/A,FALSE,"RENTAL INCOME ANALYSIS";#N/A,#N/A,FALSE,"Title Pg.-Lease Expirations";#N/A,#N/A,FALSE,"LEASE EXPIRATIONS"}</definedName>
    <definedName name="wrn.RRDOMINION._.TOWER.">{#N/A,#N/A,FALSE,"Title Pg.- Summary of Rent Roll";#N/A,#N/A,FALSE,"SUMMARY OF RENT ROLL";#N/A,#N/A,FALSE,"SUMMARY OF FLOOR AREAS";#N/A,#N/A,FALSE,"Title Pg. - Rent Roll";#N/A,#N/A,FALSE,"RETAIL SECTION";#N/A,#N/A,FALSE,"OFFICES";#N/A,#N/A,FALSE,"STORAGE";#N/A,#N/A,FALSE,"MISCELLANEOUS";#N/A,#N/A,FALSE,"Title Pg.Rental Income Analysis";#N/A,#N/A,FALSE,"RENTAL INCOME ANALYSIS";#N/A,#N/A,FALSE,"Title Pg.-Lease Expirations";#N/A,#N/A,FALSE,"LEASE EXPIRATIONS"}</definedName>
    <definedName name="wrn.SB_PRES.">{#N/A,#N/A,TRUE,"Sheet16"}</definedName>
    <definedName name="wrn.Scenario.">{"scen1",#N/A,FALSE,"Scenarios";"scen2",#N/A,FALSE,"Scenarios"}</definedName>
    <definedName name="wrn.SCHAs.">{"ACCOUNTING COPY",#N/A,FALSE,"SCHEDULE A";"FINANCE COPY",#N/A,FALSE,"SCHEDULE A";"P.L. COPY",#N/A,FALSE,"SCHEDULE A"}</definedName>
    <definedName name="wrn.SCHEDULE._.H.">{"ACCOUNT DETAIL",#N/A,FALSE,"SCHEDULE E";"ACCOUNT DETAIL",#N/A,FALSE,"SCHEDULE G";"ACCOUNT DETAIL",#N/A,FALSE,"SCHEDULE H";"ACCOUNT DETAIL",#N/A,FALSE,"SCHEDULE I"}</definedName>
    <definedName name="wrn.schedules.">{"schedule1",#N/A,FALSE,"Sheet1";"schedule2",#N/A,FALSE,"Sheet1";"schedule3",#N/A,FALSE,"Sheet1";"schedule4",#N/A,FALSE,"Sheet1";"schedule5",#N/A,FALSE,"Sheet1";"schedule6",#N/A,FALSE,"Sheet1"}</definedName>
    <definedName name="wrn.SCHEDULES._.ABC.">{#N/A,#N/A,FALSE,"SCHEDULE A";"MINIMUM RENT",#N/A,FALSE,"SCHEDULES B &amp; C";"PERCENTAGE RENT",#N/A,FALSE,"SCHEDULES B &amp; C"}</definedName>
    <definedName name="wrn.Scm.">{"Scm",#N/A,FALSE,"SCM";"Scm_Variance",#N/A,FALSE,"SCM"}</definedName>
    <definedName name="wrn.Secondary._.Competition.">{#N/A,#N/A,FALSE,"Secondary"}</definedName>
    <definedName name="wrn.Section._.1.">{"KL_View",#N/A,FALSE,"Sum_Forecast";"KL_View",#N/A,FALSE,"New Sum_Forecast"}</definedName>
    <definedName name="wrn.Sensitivities.">{"Sensitivities",#N/A,FALSE,"Consolidated"}</definedName>
    <definedName name="wrn.Short._.Print.">{#N/A,#N/A,FALSE,"Cover";#N/A,#N/A,FALSE,"Stack";#N/A,#N/A,FALSE,"Cost S";#N/A,#N/A,FALSE," CF";#N/A,#N/A,FALSE,"Investor"}</definedName>
    <definedName name="wrn.Short._.Report." localSheetId="11">{#N/A,#N/A,FALSE,"Summary";#N/A,#N/A,FALSE,"Development Plan";#N/A,#N/A,FALSE,"Ten Year Proforma";#N/A,#N/A,FALSE,"Lease-Up Chart (2)"}</definedName>
    <definedName name="wrn.Short._.Report.">{#N/A,#N/A,FALSE,"Summary";#N/A,#N/A,FALSE,"Development Plan";#N/A,#N/A,FALSE,"Ten Year Proforma";#N/A,#N/A,FALSE,"Lease-Up Chart (2)"}</definedName>
    <definedName name="wrn.Side._.by._.Side.">{"Side 99",#N/A,FALSE,"S&amp;U Side by Side"}</definedName>
    <definedName name="wrn.STAND_ALONE_BOTH.">{"FCB_ALL",#N/A,FALSE,"FCB";"GREY_ALL",#N/A,FALSE,"GREY"}</definedName>
    <definedName name="wrn.Stand_alone_both._dcf">{"FCB_ALL",#N/A,FALSE,"FCB";"GREY_ALL",#N/A,FALSE,"GREY"}</definedName>
    <definedName name="wrn.STANDARD.">{"GENERAL INPUT",#N/A,FALSE,"GENERAL INPUT";"PROFORMA DRAW SCHEDULE",#N/A,FALSE,"WORKSHEET";"BUDGET ALL",#N/A,FALSE,"BUDGET";"OPERATING ALL",#N/A,FALSE,"OPERATING";"DRAW ESTIMATES",#N/A,FALSE,"DRAWS";"SOURCES &amp; USES",#N/A,FALSE,"SOURCES &amp; USES"}</definedName>
    <definedName name="wrn.Store._.cash._.flows.">{#N/A,"1",FALSE,"Store Graphs";#N/A,"2",FALSE,"Store Graphs";#N/A,"3",FALSE,"Store Graphs";#N/A,"4",FALSE,"Store Graphs";#N/A,"5",FALSE,"Store Graphs";#N/A,"6",FALSE,"Store Graphs";#N/A,"7",FALSE,"Store Graphs";#N/A,"8",FALSE,"Store Graphs";#N/A,"9",FALSE,"Store Graphs";#N/A,"10",FALSE,"Store Graphs";#N/A,"11",FALSE,"Store Graphs";#N/A,"12",FALSE,"Store Graphs";#N/A,"13",FALSE,"Store Graphs";#N/A,"14",FALSE,"Store Graphs";#N/A,"15",FALSE,"Store Graphs";#N/A,"16",FALSE,"Store Graphs";#N/A,"17",FALSE,"Store Graphs";#N/A,"18",FALSE,"Store Graphs";#N/A,"23",FALSE,"Store Graphs";#N/A,"24",FALSE,"Store Graphs";#N/A,"25",FALSE,"Store Graphs";#N/A,"26",FALSE,"Store Graphs";#N/A,"27",FALSE,"Store Graphs";#N/A,"68",FALSE,"Store Graphs";#N/A,"69",FALSE,"Store Graphs";#N/A,"70",FALSE,"Store Graphs";#N/A,"71",FALSE,"Store Graphs";#N/A,"72",FALSE,"Store Graphs";#N/A,"73",FALSE,"Store Graphs";#N/A,"74",FALSE,"Store Graphs";#N/A,"75",FALSE,"Store Graphs";#N/A,"76",FALSE,"Store Graphs";#N/A,"77",FALSE,"Store Graphs";#N/A,"78",FALSE,"Store Graphs";#N/A,"79",FALSE,"Store Graphs";#N/A,"80",FALSE,"Store Graphs";#N/A,"81",FALSE,"Store Graphs";#N/A,"82",FALSE,"Store Graphs";#N/A,"83",FALSE,"Store Graphs";#N/A,"84",FALSE,"Store Graphs";#N/A,"85",FALSE,"Store Graphs";#N/A,"86",FALSE,"Store Graphs";#N/A,"87",FALSE,"Store Graphs";#N/A,"88",FALSE,"Store Graphs";#N/A,"89",FALSE,"Store Graphs";#N/A,"90",FALSE,"Store Graphs";#N/A,"91",FALSE,"Store Graphs";#N/A,"92",FALSE,"Store Graphs";#N/A,"93",FALSE,"Store Graphs";#N/A,"94",FALSE,"Store Graphs";#N/A,"95",FALSE,"Store Graphs";#N/A,"96",FALSE,"Store Graphs";#N/A,"162",FALSE,"Store Graphs";#N/A,"163",FALSE,"Store Graphs";#N/A,"164",FALSE,"Store Graphs";#N/A,"165",FALSE,"Store Graphs";#N/A,"166",FALSE,"Store Graphs";#N/A,"182",FALSE,"Store Graphs";#N/A,"183",FALSE,"Store Graphs";#N/A,"184",FALSE,"Store Graphs";#N/A,"185",FALSE,"Store Graphs";#N/A,"186",FALSE,"Store Graphs";#N/A,"187",FALSE,"Store Graphs";#N/A,"188",FALSE,"Store Graphs";#N/A,"189",FALSE,"Store Graphs";#N/A,"190",FALSE,"Store Graphs";#N/A,"191",FALSE,"Store Graphs";#N/A,"192",FALSE,"Store Graphs";#N/A,"193",FALSE,"Store Graphs";#N/A,"194",FALSE,"Store Graphs";#N/A,"195",FALSE,"Store Graphs";#N/A,"196",FALSE,"Store Graphs";#N/A,"197",FALSE,"Store Graphs";#N/A,"198",FALSE,"Store Graphs";#N/A,"199",FALSE,"Store Graphs";#N/A,"200",FALSE,"Store Graphs";#N/A,"201",FALSE,"Store Graphs";#N/A,"202",FALSE,"Store Graphs";#N/A,"203",FALSE,"Store Graphs";#N/A,"244",FALSE,"Store Graphs";#N/A,"245",FALSE,"Store Graphs";#N/A,"246",FALSE,"Store Graphs";#N/A,"247",FALSE,"Store Graphs";#N/A,"248",FALSE,"Store Graphs";#N/A,"249",FALSE,"Store Graphs";#N/A,"250",FALSE,"Store Graphs";#N/A,"251",FALSE,"Store Graphs";#N/A,"252",FALSE,"Store Graphs";#N/A,"253",FALSE,"Store Graphs";#N/A,"254",FALSE,"Store Graphs";#N/A,"255",FALSE,"Store Graphs";#N/A,"256",FALSE,"Store Graphs";#N/A,"257",FALSE,"Store Graphs";#N/A,"258",FALSE,"Store Graphs";#N/A,"259",FALSE,"Store Graphs";#N/A,"260",FALSE,"Store Graphs";#N/A,"261",FALSE,"Store Graphs";#N/A,"262",FALSE,"Store Graphs";#N/A,"263",FALSE,"Store Graphs";#N/A,"264",FALSE,"Store Graphs";#N/A,"265",FALSE,"Store Graphs";#N/A,"266",FALSE,"Store Graphs";#N/A,"267",FALSE,"Store Graphs";#N/A,"268",FALSE,"Store Graphs";#N/A,"269",FALSE,"Store Graphs";#N/A,"270",FALSE,"Store Graphs";#N/A,"271",FALSE,"Store Graphs";#N/A,"272",FALSE,"Store Graphs";#N/A,"273",FALSE,"Store Graphs";#N/A,"274",FALSE,"Store Graphs";#N/A,"275",FALSE,"Store Graphs";#N/A,"339",FALSE,"Store Graphs";#N/A,"340",FALSE,"Store Graphs";#N/A,"341",FALSE,"Store Graphs";#N/A,"342",FALSE,"Store Graphs";#N/A,"343",FALSE,"Store Graphs";#N/A,"344",FALSE,"Store Graphs";#N/A,"345",FALSE,"Store Graphs";#N/A,"346",FALSE,"Store Graphs";#N/A,"347",FALSE,"Store Graphs";#N/A,"348",FALSE,"Store Graphs";#N/A,"349",FALSE,"Store Graphs";#N/A,"350",FALSE,"Store Graphs";#N/A,"351",FALSE,"Store Graphs";#N/A,"352",FALSE,"Store Graphs";#N/A,"353",FALSE,"Store Graphs"}</definedName>
    <definedName name="wrn.Submittal._.Reconciliation._.Schedule.">{"Submittable Reconciliation Schedule",#N/A,FALSE,"Reconciliation";"GSCP2 PCS 30 Day",#N/A,FALSE,"GSCP2 PCS 30 Day Activity List"}</definedName>
    <definedName name="wrn.Summary." localSheetId="11">{#N/A,#N/A,FALSE,"Summary"}</definedName>
    <definedName name="wrn.Summary.">{#N/A,#N/A,FALSE,"Summary"}</definedName>
    <definedName name="wrn.Supply._.Additions.">{#N/A,#N/A,FALSE,"Supply Addn"}</definedName>
    <definedName name="wrn.TANASBOURNE._.ONLY." localSheetId="11">{#N/A,#N/A,FALSE,"Expense Comparison"}</definedName>
    <definedName name="wrn.TANASBOURNE._.ONLY.">{#N/A,#N/A,FALSE,"Expense Comparison"}</definedName>
    <definedName name="wrn.tax.">{"tax",#N/A,FALSE,"Tax";"tax_variance",#N/A,FALSE,"Tax"}</definedName>
    <definedName name="wrn.Template." localSheetId="1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Template.">{#N/A,#N/A,FALSE,"1_Executive Summary";#N/A,#N/A,FALSE,"2_Assumptions";#N/A,#N/A,FALSE,"3_Footnotes";#N/A,#N/A,FALSE,"4_Cash Flow";#N/A,#N/A,FALSE,"6_Residual - Marketing";#N/A,#N/A,FALSE,"7_Residual Matrix";#N/A,#N/A,FALSE,"8_Pricing Matrix";#N/A,#N/A,FALSE,"9_Value Matrix";#N/A,#N/A,FALSE,"10_Vacancy Detail";#N/A,#N/A,FALSE,"11_Basic Expiration"}</definedName>
    <definedName name="wrn.TEST.">{#N/A,#N/A,FALSE,"SCHEDULE G"}</definedName>
    <definedName name="wrn.Total.">{#N/A,#N/A,FALSE,"Exec Sum";#N/A,#N/A,FALSE,"Rent Rate Comp";#N/A,#N/A,FALSE,"Rate, NPV Comp";#N/A,#N/A,FALSE,"Opt A NNN";#N/A,#N/A,FALSE,"15-yr Opt. A Sum";#N/A,#N/A,FALSE,"15-yr Opt A Other Costs";#N/A,#N/A,FALSE,"10-yr Opt. A Sum";#N/A,#N/A,FALSE,"10-yr Opt A Other Costs";#N/A,#N/A,FALSE,"NPV Calc"}</definedName>
    <definedName name="wrn.TOTAL._.SHEETS.">{#N/A,#N/A,FALSE,"DEV COSTS";#N/A,#N/A,FALSE,"10-YR C. F."}</definedName>
    <definedName name="wrn.TOTAL._.SHEETS5">{#N/A,#N/A,FALSE,"DEV COSTS";#N/A,#N/A,FALSE,"10-YR C. F."}</definedName>
    <definedName name="wrn.Total5">{#N/A,#N/A,FALSE,"Exec Sum";#N/A,#N/A,FALSE,"Rent Rate Comp";#N/A,#N/A,FALSE,"Rate, NPV Comp";#N/A,#N/A,FALSE,"Opt A NNN";#N/A,#N/A,FALSE,"15-yr Opt. A Sum";#N/A,#N/A,FALSE,"15-yr Opt A Other Costs";#N/A,#N/A,FALSE,"10-yr Opt. A Sum";#N/A,#N/A,FALSE,"10-yr Opt A Other Costs";#N/A,#N/A,FALSE,"NPV Calc"}</definedName>
    <definedName name="wrn.Tycon._.Model.">{"rtn",#N/A,FALSE,"RTN";"tables",#N/A,FALSE,"RTN";"cf",#N/A,FALSE,"CF";"stats",#N/A,FALSE,"Stats";"prop",#N/A,FALSE,"Prop"}</definedName>
    <definedName name="wrn.USSC_Reports.">{#N/A,#N/A,FALSE,"9Pricing Matrix";#N/A,#N/A,FALSE,"1Summary";#N/A,#N/A,FALSE,"2Assumptions";#N/A,#N/A,FALSE,"3Cash Flow";#N/A,#N/A,FALSE,"5Residual";#N/A,#N/A,FALSE,"Occupancy Cost";#N/A,#N/A,FALSE,"7Financing Sensitivity";#N/A,#N/A,FALSE,"8Residual Sensitivity";#N/A,#N/A,FALSE,"10Vacancy Matrix";#N/A,#N/A,FALSE,"11Expiration Schedule";#N/A,#N/A,FALSE,"12Lease-up Schedule";#N/A,#N/A,FALSE,"OFS-Lease-up Schedule";#N/A,#N/A,FALSE,"Short Holds"}</definedName>
    <definedName name="wrn.Variance._.1.">{"Ebit_Variance",#N/A,FALSE,"P&amp;L";"Cash_Variance",#N/A,FALSE,"Cash"}</definedName>
    <definedName name="wrn.Variance._.2.">{"Reserves_Variance",#N/A,FALSE,"Reserves";"Scm_Variance",#N/A,FALSE,"SCM";"tax_variance",#N/A,FALSE,"Tax"}</definedName>
    <definedName name="wrn.Variance._.Worksheet.">{#N/A,#N/A,FALSE,"VARSTRIP"}</definedName>
    <definedName name="wrn.ventana.">{#N/A,#N/A,FALSE,"Cash Flow";#N/A,#N/A,FALSE,"scenario 1"}</definedName>
    <definedName name="wrn.Very._.Short." localSheetId="11">{#N/A,#N/A,TRUE,"Summary";#N/A,#N/A,TRUE,"Lease Up"}</definedName>
    <definedName name="wrn.Very._.Short.">{#N/A,#N/A,TRUE,"Summary";#N/A,#N/A,TRUE,"Lease Up"}</definedName>
    <definedName name="wrn.villages.">{#N/A,#N/A,FALSE,"Exec Sum 10Yr";#N/A,#N/A,FALSE,"Assumptions";#N/A,#N/A,FALSE,"Operating Stmts";#N/A,#N/A,FALSE,"Year One Pro Forma";#N/A,#N/A,FALSE,"Rent Roll Summary";#N/A,#N/A,FALSE,"Market Rent Detail";#N/A,#N/A,FALSE,"Effective Rental Income Detail";#N/A,#N/A,FALSE,"Cash Flow Projections";#N/A,#N/A,FALSE,"Net Residual Value"}</definedName>
    <definedName name="wrn.Working._.Papers._.1.">{"Assumptions_other",#N/A,FALSE,"Assump";"Ebit_division_indirect",#N/A,FALSE,"P&amp;L";"Ebit_indirect_allocation",#N/A,FALSE,"P&amp;L"}</definedName>
    <definedName name="wrn.Working._.Papers._.2.">{"Cash_detail",#N/A,FALSE,"Cash";"Cash_reconciliation",#N/A,FALSE,"Cash";"Scm",#N/A,FALSE,"SCM";"Tax",#N/A,FALSE,"Tax"}</definedName>
    <definedName name="WS_Reimb">#REF!</definedName>
    <definedName name="WTCwroff">#REF!</definedName>
    <definedName name="wvu.As._.Is._.Value.">{FALSE,FALSE,1.75,1,600,351,FALSE,FALSE,TRUE,TRUE,0,30,#N/A,41,#N/A,9.57777777777778,18.9166666666667,1,FALSE,FALSE,1,TRUE,1,FALSE,100,"Swvu.As._.Is._.Value.","ACwvu.As._.Is._.Value.",1,FALSE,FALSE,1,1,1,1,1,"","",FALSE,FALSE,FALSE,FALSE,1,#N/A,1,1,FALSE,FALSE,FALSE,FALSE,FALSE,FALSE}</definedName>
    <definedName name="wvu.inputs._.raw._.data.">{TRUE,TRUE,-1.25,-15.5,604.5,369,FALSE,FALSE,TRUE,TRUE,0,1,83,1,38,4,5,4,TRUE,TRUE,3,TRUE,1,TRUE,75,"Swvu.inputs._.raw._.data.","ACwvu.inputs._.raw._.data.",#N/A,FALSE,FALSE,0.5,0.5,0.5,0.5,2,"&amp;F","&amp;A&amp;RPage &amp;P",FALSE,FALSE,FALSE,FALSE,1,60,#N/A,#N/A,"=R1C61:R53C89","=C1:C5",#N/A,#N/A,FALSE,FALSE,FALSE,1,600,600,FALSE,FALSE,TRUE,TRUE,TRUE}</definedName>
    <definedName name="wvu.summary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XA1ATOP">#REF!</definedName>
    <definedName name="xxx">#REF!</definedName>
    <definedName name="xya">#REF!</definedName>
    <definedName name="XYZ">#REF!</definedName>
    <definedName name="y" localSheetId="11">{"Construction Costs",#N/A,FALSE,"Budget";"Income Statement",#N/A,FALSE,"Budget"}</definedName>
    <definedName name="y">{"Construction Costs",#N/A,FALSE,"Budget";"Income Statement",#N/A,FALSE,"Budget"}</definedName>
    <definedName name="y10sale">#REF!</definedName>
    <definedName name="Y1CAP">#REF!</definedName>
    <definedName name="Y5sale">#REF!</definedName>
    <definedName name="Year">#REF!</definedName>
    <definedName name="Year_Occ_ADR">#REF!</definedName>
    <definedName name="Year_Room">#REF!</definedName>
    <definedName name="YEAR1">#REF!</definedName>
    <definedName name="Year1NOI">#REF!</definedName>
    <definedName name="year1st">#REF!</definedName>
    <definedName name="year2nd">#REF!</definedName>
    <definedName name="Year6">#REF!</definedName>
    <definedName name="YearCell">#REF!</definedName>
    <definedName name="yearlookup">#REF!</definedName>
    <definedName name="yearpmt">#REF!</definedName>
    <definedName name="years">#REF!</definedName>
    <definedName name="YearSale">#REF!</definedName>
    <definedName name="yes" localSheetId="11">{"Construction Costs",#N/A,FALSE,"Budget";"Income Statement",#N/A,FALSE,"Budget"}</definedName>
    <definedName name="yes">{"Construction Costs",#N/A,FALSE,"Budget";"Income Statement",#N/A,FALSE,"Budget"}</definedName>
    <definedName name="Yes_No">#REF!</definedName>
    <definedName name="YesNO">#REF!,#REF!,#REF!,#REF!,#REF!,#REF!,#REF!,#REF!,#REF!,#REF!,#REF!,#REF!,#REF!</definedName>
    <definedName name="YOSLAND">#REF!</definedName>
    <definedName name="Yr">#REF!</definedName>
    <definedName name="yr10cap">#REF!</definedName>
    <definedName name="YR10CF">#REF!</definedName>
    <definedName name="Yr10noi">#REF!</definedName>
    <definedName name="Yr11_Cap">#REF!</definedName>
    <definedName name="Yr11_Cap_Spread">#REF!</definedName>
    <definedName name="YR11NOI">#REF!</definedName>
    <definedName name="Yr12noi">#REF!</definedName>
    <definedName name="Yr13_cap">#REF!</definedName>
    <definedName name="Yr13_Cap_Spread">#REF!</definedName>
    <definedName name="Yr13NOI">#REF!</definedName>
    <definedName name="yr1cap">#REF!</definedName>
    <definedName name="YR1NOI">#REF!</definedName>
    <definedName name="YR2NOI">#REF!</definedName>
    <definedName name="Yr3_Cap">#REF!</definedName>
    <definedName name="Yr3_Cap_Spread">#REF!</definedName>
    <definedName name="Yr3NOI">#REF!</definedName>
    <definedName name="Yr4_Cap">#REF!</definedName>
    <definedName name="Yr4_Cap_Spread">#REF!</definedName>
    <definedName name="Yr4NOI">#REF!</definedName>
    <definedName name="yr5cap">#REF!</definedName>
    <definedName name="Yr5NOI">#REF!</definedName>
    <definedName name="Yr6_Cap">#REF!</definedName>
    <definedName name="Yr6_Cap_Spread">#REF!</definedName>
    <definedName name="Yr6NOI">#REF!</definedName>
    <definedName name="Yr7NOI">#REF!</definedName>
    <definedName name="Yr8_Cap">#REF!</definedName>
    <definedName name="Yr8_Cap_Spread">#REF!</definedName>
    <definedName name="yr8noi">#REF!</definedName>
    <definedName name="Yr9noi">#REF!</definedName>
    <definedName name="yrcomp">#REF!</definedName>
    <definedName name="YrEnd_FFr_USD">0.1767</definedName>
    <definedName name="YTDColumn">#REF!</definedName>
    <definedName name="z">{"Client Name or Project Name"}</definedName>
    <definedName name="zero">#REF!</definedName>
    <definedName name="ZoomPercent">#REF!</definedName>
    <definedName name="ZX">"Best Answer Data - v1.5"</definedName>
    <definedName name="ZXA000">#REF!</definedName>
    <definedName name="ZXA001">#REF!</definedName>
    <definedName name="ZXC000">#REF!</definedName>
    <definedName name="ZXC001">#REF!</definedName>
    <definedName name="ZXC002">#REF!</definedName>
    <definedName name="ZXC003">#REF!</definedName>
    <definedName name="ZXC004">#REF!</definedName>
    <definedName name="ZXC005">#REF!</definedName>
    <definedName name="ZXC006">#REF!</definedName>
    <definedName name="ZXC007">#REF!</definedName>
    <definedName name="ZXC008">#REF!</definedName>
    <definedName name="ZXJ000">#REF!</definedName>
    <definedName name="ZXJ001">#REF!</definedName>
    <definedName name="zzzz">{"Commish",#N/A,FALSE,"LAWTC"}</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46" i="12" l="1"/>
  <c r="U45" i="12"/>
  <c r="V45" i="12" s="1"/>
  <c r="AA36" i="12"/>
  <c r="AA37" i="12" s="1"/>
  <c r="L12" i="12" s="1"/>
  <c r="X36" i="12"/>
  <c r="W36" i="12"/>
  <c r="W37" i="12" s="1"/>
  <c r="Z35" i="12"/>
  <c r="Y35" i="12"/>
  <c r="V35" i="12"/>
  <c r="Z34" i="12"/>
  <c r="Y34" i="12"/>
  <c r="V34" i="12"/>
  <c r="V33" i="12"/>
  <c r="Z30" i="12"/>
  <c r="Z36" i="12" s="1"/>
  <c r="Y30" i="12"/>
  <c r="V30" i="12"/>
  <c r="V36" i="12" s="1"/>
  <c r="AA29" i="12"/>
  <c r="X29" i="12"/>
  <c r="Y29" i="12" s="1"/>
  <c r="W29" i="12"/>
  <c r="U29" i="12"/>
  <c r="Z28" i="12"/>
  <c r="Y28" i="12"/>
  <c r="V28" i="12"/>
  <c r="Z27" i="12"/>
  <c r="Y27" i="12"/>
  <c r="V27" i="12"/>
  <c r="Z26" i="12"/>
  <c r="Y26" i="12"/>
  <c r="V26" i="12"/>
  <c r="Z25" i="12"/>
  <c r="Y25" i="12"/>
  <c r="V25" i="12"/>
  <c r="Z24" i="12"/>
  <c r="Y24" i="12"/>
  <c r="V24" i="12"/>
  <c r="Z23" i="12"/>
  <c r="Y23" i="12"/>
  <c r="V23" i="12"/>
  <c r="Z22" i="12"/>
  <c r="Y22" i="12"/>
  <c r="V22" i="12"/>
  <c r="Z21" i="12"/>
  <c r="Y21" i="12"/>
  <c r="V21" i="12"/>
  <c r="Z20" i="12"/>
  <c r="Y20" i="12"/>
  <c r="V20" i="12"/>
  <c r="Z19" i="12"/>
  <c r="Y19" i="12"/>
  <c r="V19" i="12"/>
  <c r="Z18" i="12"/>
  <c r="Y18" i="12"/>
  <c r="V18" i="12"/>
  <c r="Z17" i="12"/>
  <c r="Y17" i="12"/>
  <c r="V17" i="12"/>
  <c r="Z16" i="12"/>
  <c r="Y16" i="12"/>
  <c r="V16" i="12"/>
  <c r="Z15" i="12"/>
  <c r="Y15" i="12"/>
  <c r="V15" i="12"/>
  <c r="Z14" i="12"/>
  <c r="Y14" i="12"/>
  <c r="V14" i="12"/>
  <c r="Z13" i="12"/>
  <c r="Y13" i="12"/>
  <c r="V13" i="12"/>
  <c r="Z12" i="12"/>
  <c r="Y12" i="12"/>
  <c r="V12" i="12"/>
  <c r="Z11" i="12"/>
  <c r="Y11" i="12"/>
  <c r="V11" i="12"/>
  <c r="F11" i="12"/>
  <c r="D11" i="12"/>
  <c r="Z10" i="12"/>
  <c r="Y10" i="12"/>
  <c r="V10" i="12"/>
  <c r="Z9" i="12"/>
  <c r="Y9" i="12"/>
  <c r="V9" i="12"/>
  <c r="V29" i="12" s="1"/>
  <c r="Z4" i="12"/>
  <c r="V4" i="12"/>
  <c r="Z3" i="12"/>
  <c r="V3" i="12"/>
  <c r="V2" i="12"/>
  <c r="L2" i="12"/>
  <c r="Z2" i="12" s="1"/>
  <c r="Z1" i="12"/>
  <c r="V1" i="12"/>
  <c r="V2" i="8" a="1"/>
  <c r="V2" i="8" s="1"/>
  <c r="B63" i="7" a="1"/>
  <c r="B63" i="7" s="1"/>
  <c r="B62" i="7" a="1"/>
  <c r="B62" i="7" s="1"/>
  <c r="B61" i="7" a="1"/>
  <c r="B61" i="7" s="1"/>
  <c r="B60" i="7" a="1"/>
  <c r="B60" i="7" s="1"/>
  <c r="B59" i="7" a="1"/>
  <c r="B59" i="7" s="1"/>
  <c r="B58" i="7" a="1"/>
  <c r="B58" i="7" s="1"/>
  <c r="B57" i="7" a="1"/>
  <c r="B57" i="7" s="1"/>
  <c r="B56" i="7" a="1"/>
  <c r="B56" i="7" s="1"/>
  <c r="B55" i="7" a="1"/>
  <c r="B55" i="7" s="1"/>
  <c r="B54" i="7" a="1"/>
  <c r="B54" i="7" s="1"/>
  <c r="B53" i="7" a="1"/>
  <c r="B53" i="7" s="1"/>
  <c r="B52" i="7" a="1"/>
  <c r="B52" i="7" s="1"/>
  <c r="B51" i="7" a="1"/>
  <c r="B51" i="7" s="1"/>
  <c r="B50" i="7" a="1"/>
  <c r="B50" i="7" s="1"/>
  <c r="B49" i="7" a="1"/>
  <c r="B49" i="7" s="1"/>
  <c r="B48" i="7" a="1"/>
  <c r="B48" i="7" s="1"/>
  <c r="B47" i="7" a="1"/>
  <c r="B47" i="7" s="1"/>
  <c r="B46" i="7" a="1"/>
  <c r="B46" i="7" s="1"/>
  <c r="B45" i="7" a="1"/>
  <c r="B45" i="7" s="1"/>
  <c r="B44" i="7" a="1"/>
  <c r="B44" i="7" s="1"/>
  <c r="B43" i="7" a="1"/>
  <c r="B43" i="7" s="1"/>
  <c r="B42" i="7" a="1"/>
  <c r="B42" i="7" s="1"/>
  <c r="B41" i="7" a="1"/>
  <c r="B41" i="7" s="1"/>
  <c r="B40" i="7" a="1"/>
  <c r="B40" i="7" s="1"/>
  <c r="B39" i="7" a="1"/>
  <c r="B39" i="7" s="1"/>
  <c r="B38" i="7" a="1"/>
  <c r="B38" i="7" s="1"/>
  <c r="B37" i="7" a="1"/>
  <c r="B37" i="7" s="1"/>
  <c r="B36" i="7" a="1"/>
  <c r="B36" i="7" s="1"/>
  <c r="B35" i="7" a="1"/>
  <c r="B35" i="7" s="1"/>
  <c r="B34" i="7" a="1"/>
  <c r="B34" i="7" s="1"/>
  <c r="B33" i="7" a="1"/>
  <c r="B33" i="7" s="1"/>
  <c r="B32" i="7" a="1"/>
  <c r="B32" i="7" s="1"/>
  <c r="B31" i="7" a="1"/>
  <c r="B31" i="7" s="1"/>
  <c r="B30" i="7" a="1"/>
  <c r="B30" i="7" s="1"/>
  <c r="B29" i="7" a="1"/>
  <c r="B29" i="7" s="1"/>
  <c r="B28" i="7" a="1"/>
  <c r="B28" i="7" s="1"/>
  <c r="B27" i="7" a="1"/>
  <c r="B27" i="7" s="1"/>
  <c r="B26" i="7" a="1"/>
  <c r="B26" i="7" s="1"/>
  <c r="B25" i="7" a="1"/>
  <c r="B25" i="7" s="1"/>
  <c r="B24" i="7" a="1"/>
  <c r="B24" i="7" s="1"/>
  <c r="B23" i="7" a="1"/>
  <c r="B23" i="7" s="1"/>
  <c r="B22" i="7" a="1"/>
  <c r="B22" i="7" s="1"/>
  <c r="B21" i="7" a="1"/>
  <c r="B21" i="7" s="1"/>
  <c r="B20" i="7" a="1"/>
  <c r="B20" i="7" s="1"/>
  <c r="B19" i="7" a="1"/>
  <c r="B19" i="7" s="1"/>
  <c r="B18" i="7" a="1"/>
  <c r="B18" i="7" s="1"/>
  <c r="B17" i="7" a="1"/>
  <c r="B17" i="7" s="1"/>
  <c r="B16" i="7" a="1"/>
  <c r="B16" i="7" s="1"/>
  <c r="B15" i="7" a="1"/>
  <c r="B15" i="7" s="1"/>
  <c r="B14" i="7" a="1"/>
  <c r="B14" i="7" s="1"/>
  <c r="B13" i="7" a="1"/>
  <c r="B13" i="7" s="1"/>
  <c r="B12" i="7" a="1"/>
  <c r="B12" i="7" s="1"/>
  <c r="B11" i="7" a="1"/>
  <c r="B11" i="7" s="1"/>
  <c r="B10" i="7" a="1"/>
  <c r="B10" i="7" s="1"/>
  <c r="B9" i="7" a="1"/>
  <c r="B9" i="7" s="1"/>
  <c r="B8" i="7" a="1"/>
  <c r="B8" i="7" s="1"/>
  <c r="B5" i="7"/>
  <c r="B4" i="7"/>
  <c r="B3" i="7"/>
  <c r="D67" i="6"/>
  <c r="B5" i="6"/>
  <c r="B4" i="6"/>
  <c r="B3" i="6"/>
  <c r="I25" i="5"/>
  <c r="I24" i="5"/>
  <c r="I23" i="5"/>
  <c r="L22" i="5" a="1"/>
  <c r="L22" i="5" s="1"/>
  <c r="I22" i="5"/>
  <c r="I21" i="5"/>
  <c r="H21" i="5"/>
  <c r="F21" i="5"/>
  <c r="E21" i="5" a="1"/>
  <c r="E21" i="5" s="1"/>
  <c r="D21" i="5"/>
  <c r="G21" i="5" s="1"/>
  <c r="I20" i="5"/>
  <c r="H20" i="5"/>
  <c r="F20" i="5"/>
  <c r="E20" i="5" a="1"/>
  <c r="E20" i="5" s="1"/>
  <c r="D20" i="5"/>
  <c r="G20" i="5" s="1"/>
  <c r="I19" i="5"/>
  <c r="H19" i="5"/>
  <c r="F19" i="5"/>
  <c r="E19" i="5" a="1"/>
  <c r="E19" i="5" s="1"/>
  <c r="D19" i="5"/>
  <c r="G19" i="5" s="1"/>
  <c r="I18" i="5"/>
  <c r="H18" i="5"/>
  <c r="F18" i="5"/>
  <c r="E18" i="5" a="1"/>
  <c r="E18" i="5" s="1"/>
  <c r="D18" i="5"/>
  <c r="G18" i="5" s="1"/>
  <c r="I17" i="5"/>
  <c r="H17" i="5"/>
  <c r="F17" i="5"/>
  <c r="E17" i="5" a="1"/>
  <c r="E17" i="5" s="1"/>
  <c r="D17" i="5"/>
  <c r="G17" i="5" s="1"/>
  <c r="I16" i="5"/>
  <c r="H16" i="5"/>
  <c r="F16" i="5"/>
  <c r="E16" i="5" a="1"/>
  <c r="E16" i="5" s="1"/>
  <c r="D16" i="5"/>
  <c r="G16" i="5" s="1"/>
  <c r="I15" i="5"/>
  <c r="H15" i="5"/>
  <c r="F15" i="5"/>
  <c r="E15" i="5" a="1"/>
  <c r="E15" i="5" s="1"/>
  <c r="D15" i="5"/>
  <c r="G15" i="5" s="1"/>
  <c r="I14" i="5"/>
  <c r="H14" i="5"/>
  <c r="F14" i="5"/>
  <c r="E14" i="5" a="1"/>
  <c r="E14" i="5"/>
  <c r="D14" i="5"/>
  <c r="G14" i="5" s="1"/>
  <c r="I13" i="5"/>
  <c r="H13" i="5"/>
  <c r="F13" i="5"/>
  <c r="E13" i="5" a="1"/>
  <c r="E13" i="5" s="1"/>
  <c r="D13" i="5"/>
  <c r="G13" i="5" s="1"/>
  <c r="I12" i="5"/>
  <c r="H12" i="5"/>
  <c r="F12" i="5"/>
  <c r="E12" i="5" a="1"/>
  <c r="E12" i="5" s="1"/>
  <c r="D12" i="5"/>
  <c r="G12" i="5" s="1"/>
  <c r="I11" i="5"/>
  <c r="H11" i="5"/>
  <c r="F11" i="5"/>
  <c r="E11" i="5" a="1"/>
  <c r="E11" i="5" s="1"/>
  <c r="D11" i="5"/>
  <c r="G11" i="5" s="1"/>
  <c r="I10" i="5"/>
  <c r="H10" i="5"/>
  <c r="F10" i="5"/>
  <c r="E10" i="5" a="1"/>
  <c r="E10" i="5" s="1"/>
  <c r="D10" i="5"/>
  <c r="G10" i="5" s="1"/>
  <c r="I9" i="5"/>
  <c r="H9" i="5"/>
  <c r="F9" i="5"/>
  <c r="E9" i="5" a="1"/>
  <c r="E9" i="5" s="1"/>
  <c r="D9" i="5"/>
  <c r="G9" i="5" s="1"/>
  <c r="H8" i="5"/>
  <c r="H92" i="5" s="1"/>
  <c r="F8" i="5"/>
  <c r="F92" i="5" s="1"/>
  <c r="E8" i="5" a="1"/>
  <c r="E8" i="5" s="1"/>
  <c r="D8" i="5"/>
  <c r="C8" i="5" a="1"/>
  <c r="C8" i="5" s="1"/>
  <c r="I8" i="5" s="1"/>
  <c r="I92" i="5" s="1"/>
  <c r="B8" i="5" a="1"/>
  <c r="B8" i="5" s="1"/>
  <c r="C5" i="5"/>
  <c r="C4" i="5"/>
  <c r="C3" i="5"/>
  <c r="E38" i="4"/>
  <c r="B5" i="4"/>
  <c r="B4" i="4"/>
  <c r="B3" i="4"/>
  <c r="X37" i="12" l="1"/>
  <c r="W32" i="12"/>
  <c r="X32" i="12" s="1"/>
  <c r="W31" i="12"/>
  <c r="X31" i="12" s="1"/>
  <c r="Z29" i="12"/>
  <c r="U33" i="12"/>
  <c r="F14" i="12"/>
  <c r="F12" i="12"/>
  <c r="D14" i="12"/>
  <c r="L9" i="12" s="1"/>
  <c r="D12" i="12"/>
  <c r="C63" i="7"/>
  <c r="G63" i="7" a="1"/>
  <c r="G63" i="7" s="1"/>
  <c r="D63" i="7"/>
  <c r="H63" i="7" a="1"/>
  <c r="H63" i="7" s="1"/>
  <c r="L63" i="7"/>
  <c r="C62" i="7"/>
  <c r="D62" i="7"/>
  <c r="G62" i="7" a="1"/>
  <c r="G62" i="7" s="1"/>
  <c r="H62" i="7" a="1"/>
  <c r="H62" i="7" s="1"/>
  <c r="L62" i="7"/>
  <c r="C61" i="7"/>
  <c r="D61" i="7"/>
  <c r="G61" i="7" a="1"/>
  <c r="G61" i="7" s="1"/>
  <c r="H61" i="7" a="1"/>
  <c r="H61" i="7" s="1"/>
  <c r="L61" i="7"/>
  <c r="C60" i="7"/>
  <c r="D60" i="7"/>
  <c r="G60" i="7" a="1"/>
  <c r="G60" i="7" s="1"/>
  <c r="H60" i="7" a="1"/>
  <c r="H60" i="7" s="1"/>
  <c r="L60" i="7"/>
  <c r="C59" i="7"/>
  <c r="D59" i="7"/>
  <c r="G59" i="7" a="1"/>
  <c r="G59" i="7" s="1"/>
  <c r="H59" i="7" a="1"/>
  <c r="H59" i="7" s="1"/>
  <c r="L59" i="7"/>
  <c r="C58" i="7"/>
  <c r="D58" i="7"/>
  <c r="G58" i="7" a="1"/>
  <c r="G58" i="7" s="1"/>
  <c r="H58" i="7" a="1"/>
  <c r="H58" i="7" s="1"/>
  <c r="L58" i="7"/>
  <c r="C57" i="7"/>
  <c r="D57" i="7"/>
  <c r="G57" i="7" a="1"/>
  <c r="G57" i="7" s="1"/>
  <c r="H57" i="7" a="1"/>
  <c r="H57" i="7" s="1"/>
  <c r="L57" i="7"/>
  <c r="L56" i="7"/>
  <c r="C56" i="7"/>
  <c r="D56" i="7"/>
  <c r="G56" i="7" a="1"/>
  <c r="G56" i="7" s="1"/>
  <c r="H56" i="7" a="1"/>
  <c r="H56" i="7" s="1"/>
  <c r="C55" i="7"/>
  <c r="D55" i="7"/>
  <c r="G55" i="7" a="1"/>
  <c r="G55" i="7" s="1"/>
  <c r="H55" i="7" a="1"/>
  <c r="H55" i="7" s="1"/>
  <c r="L55" i="7"/>
  <c r="C54" i="7"/>
  <c r="D54" i="7"/>
  <c r="G54" i="7" a="1"/>
  <c r="G54" i="7" s="1"/>
  <c r="H54" i="7" a="1"/>
  <c r="H54" i="7" s="1"/>
  <c r="L54" i="7"/>
  <c r="C53" i="7"/>
  <c r="D53" i="7"/>
  <c r="G53" i="7" a="1"/>
  <c r="G53" i="7" s="1"/>
  <c r="H53" i="7" a="1"/>
  <c r="H53" i="7" s="1"/>
  <c r="L53" i="7"/>
  <c r="C52" i="7"/>
  <c r="D52" i="7"/>
  <c r="G52" i="7" a="1"/>
  <c r="G52" i="7" s="1"/>
  <c r="H52" i="7" a="1"/>
  <c r="H52" i="7" s="1"/>
  <c r="L52" i="7"/>
  <c r="C51" i="7"/>
  <c r="D51" i="7"/>
  <c r="G51" i="7" a="1"/>
  <c r="G51" i="7" s="1"/>
  <c r="H51" i="7" a="1"/>
  <c r="H51" i="7" s="1"/>
  <c r="L51" i="7"/>
  <c r="C50" i="7"/>
  <c r="D50" i="7"/>
  <c r="G50" i="7" a="1"/>
  <c r="G50" i="7" s="1"/>
  <c r="H50" i="7" a="1"/>
  <c r="H50" i="7" s="1"/>
  <c r="L50" i="7"/>
  <c r="C49" i="7"/>
  <c r="D49" i="7"/>
  <c r="G49" i="7" a="1"/>
  <c r="G49" i="7" s="1"/>
  <c r="H49" i="7" a="1"/>
  <c r="H49" i="7" s="1"/>
  <c r="L49" i="7"/>
  <c r="C48" i="7"/>
  <c r="D48" i="7"/>
  <c r="G48" i="7" a="1"/>
  <c r="G48" i="7" s="1"/>
  <c r="H48" i="7" a="1"/>
  <c r="H48" i="7" s="1"/>
  <c r="L48" i="7"/>
  <c r="C47" i="7"/>
  <c r="D47" i="7"/>
  <c r="G47" i="7" a="1"/>
  <c r="G47" i="7" s="1"/>
  <c r="H47" i="7" a="1"/>
  <c r="H47" i="7" s="1"/>
  <c r="L47" i="7"/>
  <c r="C46" i="7"/>
  <c r="D46" i="7"/>
  <c r="G46" i="7" a="1"/>
  <c r="G46" i="7" s="1"/>
  <c r="H46" i="7" a="1"/>
  <c r="H46" i="7" s="1"/>
  <c r="L46" i="7"/>
  <c r="C45" i="7"/>
  <c r="D45" i="7"/>
  <c r="G45" i="7" a="1"/>
  <c r="G45" i="7" s="1"/>
  <c r="H45" i="7" a="1"/>
  <c r="H45" i="7" s="1"/>
  <c r="L45" i="7"/>
  <c r="C44" i="7"/>
  <c r="D44" i="7"/>
  <c r="G44" i="7" a="1"/>
  <c r="G44" i="7" s="1"/>
  <c r="H44" i="7" a="1"/>
  <c r="H44" i="7" s="1"/>
  <c r="L44" i="7"/>
  <c r="C43" i="7"/>
  <c r="D43" i="7"/>
  <c r="G43" i="7" a="1"/>
  <c r="G43" i="7" s="1"/>
  <c r="H43" i="7" a="1"/>
  <c r="H43" i="7" s="1"/>
  <c r="L43" i="7"/>
  <c r="C42" i="7"/>
  <c r="D42" i="7"/>
  <c r="G42" i="7" a="1"/>
  <c r="G42" i="7" s="1"/>
  <c r="H42" i="7" a="1"/>
  <c r="H42" i="7" s="1"/>
  <c r="L42" i="7"/>
  <c r="C41" i="7"/>
  <c r="D41" i="7"/>
  <c r="G41" i="7" a="1"/>
  <c r="G41" i="7" s="1"/>
  <c r="H41" i="7" a="1"/>
  <c r="H41" i="7" s="1"/>
  <c r="L41" i="7"/>
  <c r="C40" i="7"/>
  <c r="D40" i="7"/>
  <c r="G40" i="7" a="1"/>
  <c r="G40" i="7" s="1"/>
  <c r="H40" i="7" a="1"/>
  <c r="H40" i="7" s="1"/>
  <c r="L40" i="7"/>
  <c r="C39" i="7"/>
  <c r="D39" i="7"/>
  <c r="G39" i="7" a="1"/>
  <c r="G39" i="7" s="1"/>
  <c r="H39" i="7" a="1"/>
  <c r="H39" i="7" s="1"/>
  <c r="L39" i="7"/>
  <c r="C38" i="7"/>
  <c r="D38" i="7"/>
  <c r="G38" i="7" a="1"/>
  <c r="G38" i="7" s="1"/>
  <c r="H38" i="7" a="1"/>
  <c r="H38" i="7" s="1"/>
  <c r="L38" i="7"/>
  <c r="C37" i="7"/>
  <c r="D37" i="7"/>
  <c r="G37" i="7" a="1"/>
  <c r="G37" i="7" s="1"/>
  <c r="H37" i="7" a="1"/>
  <c r="H37" i="7" s="1"/>
  <c r="L37" i="7"/>
  <c r="C36" i="7"/>
  <c r="D36" i="7"/>
  <c r="G36" i="7" a="1"/>
  <c r="G36" i="7" s="1"/>
  <c r="H36" i="7" a="1"/>
  <c r="H36" i="7" s="1"/>
  <c r="L36" i="7"/>
  <c r="C35" i="7"/>
  <c r="D35" i="7"/>
  <c r="G35" i="7" a="1"/>
  <c r="G35" i="7" s="1"/>
  <c r="H35" i="7" a="1"/>
  <c r="H35" i="7" s="1"/>
  <c r="L35" i="7"/>
  <c r="C34" i="7"/>
  <c r="D34" i="7"/>
  <c r="G34" i="7" a="1"/>
  <c r="G34" i="7" s="1"/>
  <c r="H34" i="7" a="1"/>
  <c r="H34" i="7" s="1"/>
  <c r="L34" i="7"/>
  <c r="C33" i="7"/>
  <c r="D33" i="7"/>
  <c r="G33" i="7" a="1"/>
  <c r="G33" i="7" s="1"/>
  <c r="H33" i="7" a="1"/>
  <c r="H33" i="7" s="1"/>
  <c r="L33" i="7"/>
  <c r="C32" i="7"/>
  <c r="D32" i="7"/>
  <c r="G32" i="7" a="1"/>
  <c r="G32" i="7" s="1"/>
  <c r="H32" i="7" a="1"/>
  <c r="H32" i="7" s="1"/>
  <c r="L32" i="7"/>
  <c r="C31" i="7"/>
  <c r="D31" i="7"/>
  <c r="G31" i="7" a="1"/>
  <c r="G31" i="7" s="1"/>
  <c r="H31" i="7" a="1"/>
  <c r="H31" i="7" s="1"/>
  <c r="L31" i="7"/>
  <c r="C30" i="7"/>
  <c r="D30" i="7"/>
  <c r="G30" i="7" a="1"/>
  <c r="G30" i="7" s="1"/>
  <c r="H30" i="7" a="1"/>
  <c r="H30" i="7" s="1"/>
  <c r="L30" i="7"/>
  <c r="C29" i="7"/>
  <c r="D29" i="7"/>
  <c r="G29" i="7" a="1"/>
  <c r="G29" i="7" s="1"/>
  <c r="H29" i="7" a="1"/>
  <c r="H29" i="7" s="1"/>
  <c r="L29" i="7"/>
  <c r="C28" i="7"/>
  <c r="D28" i="7"/>
  <c r="G28" i="7" a="1"/>
  <c r="G28" i="7" s="1"/>
  <c r="H28" i="7" a="1"/>
  <c r="H28" i="7" s="1"/>
  <c r="L28" i="7"/>
  <c r="C27" i="7"/>
  <c r="D27" i="7"/>
  <c r="G27" i="7" a="1"/>
  <c r="G27" i="7" s="1"/>
  <c r="H27" i="7" a="1"/>
  <c r="H27" i="7" s="1"/>
  <c r="L27" i="7"/>
  <c r="C26" i="7"/>
  <c r="D26" i="7"/>
  <c r="G26" i="7" a="1"/>
  <c r="G26" i="7" s="1"/>
  <c r="H26" i="7" a="1"/>
  <c r="H26" i="7" s="1"/>
  <c r="L26" i="7"/>
  <c r="C25" i="7"/>
  <c r="D25" i="7"/>
  <c r="G25" i="7" a="1"/>
  <c r="G25" i="7" s="1"/>
  <c r="H25" i="7" a="1"/>
  <c r="H25" i="7" s="1"/>
  <c r="L25" i="7"/>
  <c r="C24" i="7"/>
  <c r="D24" i="7"/>
  <c r="G24" i="7" a="1"/>
  <c r="G24" i="7" s="1"/>
  <c r="H24" i="7" a="1"/>
  <c r="H24" i="7" s="1"/>
  <c r="L24" i="7"/>
  <c r="C23" i="7"/>
  <c r="D23" i="7"/>
  <c r="G23" i="7" a="1"/>
  <c r="G23" i="7" s="1"/>
  <c r="H23" i="7" a="1"/>
  <c r="H23" i="7" s="1"/>
  <c r="L23" i="7"/>
  <c r="C22" i="7"/>
  <c r="D22" i="7"/>
  <c r="G22" i="7" a="1"/>
  <c r="G22" i="7" s="1"/>
  <c r="H22" i="7" a="1"/>
  <c r="H22" i="7" s="1"/>
  <c r="L22" i="7"/>
  <c r="H21" i="7" a="1"/>
  <c r="H21" i="7" s="1"/>
  <c r="L21" i="7"/>
  <c r="C21" i="7"/>
  <c r="D21" i="7"/>
  <c r="G21" i="7" a="1"/>
  <c r="G21" i="7" s="1"/>
  <c r="C20" i="7"/>
  <c r="D20" i="7"/>
  <c r="G20" i="7" a="1"/>
  <c r="G20" i="7" s="1"/>
  <c r="H20" i="7" a="1"/>
  <c r="H20" i="7" s="1"/>
  <c r="L20" i="7"/>
  <c r="C19" i="7"/>
  <c r="D19" i="7"/>
  <c r="G19" i="7" a="1"/>
  <c r="G19" i="7" s="1"/>
  <c r="H19" i="7" a="1"/>
  <c r="H19" i="7" s="1"/>
  <c r="L19" i="7"/>
  <c r="C18" i="7"/>
  <c r="D18" i="7"/>
  <c r="G18" i="7" a="1"/>
  <c r="G18" i="7" s="1"/>
  <c r="H18" i="7" a="1"/>
  <c r="H18" i="7" s="1"/>
  <c r="L18" i="7"/>
  <c r="C17" i="7"/>
  <c r="D17" i="7"/>
  <c r="G17" i="7" a="1"/>
  <c r="G17" i="7" s="1"/>
  <c r="H17" i="7" a="1"/>
  <c r="H17" i="7" s="1"/>
  <c r="L17" i="7"/>
  <c r="C16" i="7"/>
  <c r="D16" i="7"/>
  <c r="G16" i="7" a="1"/>
  <c r="G16" i="7" s="1"/>
  <c r="H16" i="7" a="1"/>
  <c r="H16" i="7" s="1"/>
  <c r="L16" i="7"/>
  <c r="C15" i="7"/>
  <c r="D15" i="7"/>
  <c r="G15" i="7" a="1"/>
  <c r="G15" i="7" s="1"/>
  <c r="H15" i="7" a="1"/>
  <c r="H15" i="7" s="1"/>
  <c r="L15" i="7"/>
  <c r="C14" i="7"/>
  <c r="D14" i="7"/>
  <c r="G14" i="7" a="1"/>
  <c r="G14" i="7" s="1"/>
  <c r="H14" i="7" a="1"/>
  <c r="H14" i="7" s="1"/>
  <c r="L14" i="7"/>
  <c r="C13" i="7"/>
  <c r="D13" i="7"/>
  <c r="G13" i="7" a="1"/>
  <c r="G13" i="7" s="1"/>
  <c r="H13" i="7" a="1"/>
  <c r="H13" i="7" s="1"/>
  <c r="L13" i="7"/>
  <c r="C12" i="7"/>
  <c r="D12" i="7"/>
  <c r="G12" i="7" a="1"/>
  <c r="G12" i="7" s="1"/>
  <c r="H12" i="7" a="1"/>
  <c r="H12" i="7" s="1"/>
  <c r="L12" i="7"/>
  <c r="C11" i="7"/>
  <c r="G11" i="7" a="1"/>
  <c r="G11" i="7" s="1"/>
  <c r="L11" i="7"/>
  <c r="D11" i="7"/>
  <c r="H11" i="7" a="1"/>
  <c r="H11" i="7" s="1"/>
  <c r="C10" i="7"/>
  <c r="D10" i="7"/>
  <c r="G10" i="7" a="1"/>
  <c r="G10" i="7" s="1"/>
  <c r="H10" i="7" a="1"/>
  <c r="H10" i="7" s="1"/>
  <c r="L10" i="7"/>
  <c r="L9" i="7"/>
  <c r="C9" i="7"/>
  <c r="D9" i="7"/>
  <c r="G9" i="7" a="1"/>
  <c r="G9" i="7" s="1"/>
  <c r="H9" i="7" a="1"/>
  <c r="H9" i="7" s="1"/>
  <c r="H8" i="7" a="1"/>
  <c r="H8" i="7" s="1"/>
  <c r="C8" i="7"/>
  <c r="D8" i="7"/>
  <c r="G8" i="7" a="1"/>
  <c r="G8" i="7" s="1"/>
  <c r="L8" i="7"/>
  <c r="L64" i="7" s="1"/>
  <c r="D92" i="5"/>
  <c r="G8" i="5"/>
  <c r="G92" i="5" s="1"/>
  <c r="V37" i="12"/>
  <c r="L14" i="12" s="1"/>
  <c r="I21" i="7" l="1"/>
  <c r="J21" i="7" s="1"/>
  <c r="E28" i="7"/>
  <c r="F28" i="7" s="1"/>
  <c r="E22" i="7"/>
  <c r="I22" i="7"/>
  <c r="J22" i="7" s="1"/>
  <c r="E21" i="7"/>
  <c r="E19" i="7"/>
  <c r="F19" i="7" s="1"/>
  <c r="E12" i="7"/>
  <c r="F12" i="7" s="1"/>
  <c r="I56" i="7"/>
  <c r="J56" i="7" s="1"/>
  <c r="I50" i="7"/>
  <c r="J50" i="7" s="1"/>
  <c r="L11" i="12"/>
  <c r="L13" i="12" s="1"/>
  <c r="L15" i="12" s="1"/>
  <c r="H19" i="12" s="1"/>
  <c r="H23" i="12" s="1"/>
  <c r="Y32" i="12"/>
  <c r="Z32" i="12"/>
  <c r="Y31" i="12"/>
  <c r="Z31" i="12"/>
  <c r="Y33" i="12"/>
  <c r="U36" i="12"/>
  <c r="Z33" i="12"/>
  <c r="E8" i="7"/>
  <c r="C64" i="7"/>
  <c r="I8" i="7"/>
  <c r="G64" i="7"/>
  <c r="E63" i="7"/>
  <c r="I63" i="7"/>
  <c r="J63" i="7" s="1"/>
  <c r="E62" i="7"/>
  <c r="I62" i="7"/>
  <c r="J62" i="7" s="1"/>
  <c r="E61" i="7"/>
  <c r="I61" i="7"/>
  <c r="J61" i="7" s="1"/>
  <c r="E60" i="7"/>
  <c r="I60" i="7"/>
  <c r="J60" i="7" s="1"/>
  <c r="E59" i="7"/>
  <c r="I59" i="7"/>
  <c r="J59" i="7" s="1"/>
  <c r="E58" i="7"/>
  <c r="I58" i="7"/>
  <c r="J58" i="7" s="1"/>
  <c r="E57" i="7"/>
  <c r="I57" i="7"/>
  <c r="J57" i="7" s="1"/>
  <c r="E56" i="7"/>
  <c r="E49" i="7"/>
  <c r="I49" i="7"/>
  <c r="J49" i="7" s="1"/>
  <c r="E39" i="7"/>
  <c r="I39" i="7"/>
  <c r="J39" i="7" s="1"/>
  <c r="E20" i="7"/>
  <c r="E18" i="7"/>
  <c r="E14" i="7"/>
  <c r="E55" i="7"/>
  <c r="I55" i="7"/>
  <c r="J55" i="7" s="1"/>
  <c r="E54" i="7"/>
  <c r="I54" i="7"/>
  <c r="J54" i="7" s="1"/>
  <c r="E53" i="7"/>
  <c r="I53" i="7"/>
  <c r="J53" i="7" s="1"/>
  <c r="E52" i="7"/>
  <c r="I52" i="7"/>
  <c r="J52" i="7" s="1"/>
  <c r="E51" i="7"/>
  <c r="I51" i="7"/>
  <c r="J51" i="7" s="1"/>
  <c r="E50" i="7"/>
  <c r="E48" i="7"/>
  <c r="I48" i="7"/>
  <c r="J48" i="7" s="1"/>
  <c r="I47" i="7"/>
  <c r="J47" i="7" s="1"/>
  <c r="E38" i="7"/>
  <c r="E15" i="7"/>
  <c r="I15" i="7"/>
  <c r="J15" i="7" s="1"/>
  <c r="E46" i="7"/>
  <c r="I46" i="7"/>
  <c r="J46" i="7" s="1"/>
  <c r="E45" i="7"/>
  <c r="I45" i="7"/>
  <c r="J45" i="7" s="1"/>
  <c r="E44" i="7"/>
  <c r="I44" i="7"/>
  <c r="J44" i="7" s="1"/>
  <c r="E43" i="7"/>
  <c r="I43" i="7"/>
  <c r="J43" i="7" s="1"/>
  <c r="E42" i="7"/>
  <c r="I42" i="7"/>
  <c r="J42" i="7" s="1"/>
  <c r="E41" i="7"/>
  <c r="I41" i="7"/>
  <c r="J41" i="7" s="1"/>
  <c r="E40" i="7"/>
  <c r="I40" i="7"/>
  <c r="J40" i="7" s="1"/>
  <c r="I20" i="7"/>
  <c r="J20" i="7" s="1"/>
  <c r="I18" i="7"/>
  <c r="J18" i="7" s="1"/>
  <c r="I16" i="7"/>
  <c r="J16" i="7" s="1"/>
  <c r="I14" i="7"/>
  <c r="J14" i="7" s="1"/>
  <c r="E37" i="7"/>
  <c r="I37" i="7"/>
  <c r="J37" i="7" s="1"/>
  <c r="E36" i="7"/>
  <c r="I36" i="7"/>
  <c r="J36" i="7" s="1"/>
  <c r="E35" i="7"/>
  <c r="I35" i="7"/>
  <c r="J35" i="7" s="1"/>
  <c r="E34" i="7"/>
  <c r="I34" i="7"/>
  <c r="J34" i="7" s="1"/>
  <c r="E33" i="7"/>
  <c r="I33" i="7"/>
  <c r="J33" i="7" s="1"/>
  <c r="E32" i="7"/>
  <c r="I32" i="7"/>
  <c r="J32" i="7" s="1"/>
  <c r="E31" i="7"/>
  <c r="I31" i="7"/>
  <c r="J31" i="7" s="1"/>
  <c r="E30" i="7"/>
  <c r="I30" i="7"/>
  <c r="J30" i="7" s="1"/>
  <c r="E29" i="7"/>
  <c r="I29" i="7"/>
  <c r="J29" i="7" s="1"/>
  <c r="I23" i="7"/>
  <c r="J23" i="7" s="1"/>
  <c r="E17" i="7"/>
  <c r="I17" i="7"/>
  <c r="J17" i="7" s="1"/>
  <c r="E11" i="7"/>
  <c r="I11" i="7"/>
  <c r="J11" i="7" s="1"/>
  <c r="I28" i="7"/>
  <c r="E27" i="7"/>
  <c r="I27" i="7"/>
  <c r="J27" i="7" s="1"/>
  <c r="E26" i="7"/>
  <c r="I26" i="7"/>
  <c r="J26" i="7" s="1"/>
  <c r="E25" i="7"/>
  <c r="I25" i="7"/>
  <c r="J25" i="7" s="1"/>
  <c r="E24" i="7"/>
  <c r="I24" i="7"/>
  <c r="J24" i="7" s="1"/>
  <c r="E16" i="7"/>
  <c r="I12" i="7"/>
  <c r="I10" i="7"/>
  <c r="J10" i="7" s="1"/>
  <c r="E9" i="7"/>
  <c r="I9" i="7"/>
  <c r="J9" i="7" s="1"/>
  <c r="H64" i="7"/>
  <c r="D64" i="7"/>
  <c r="E47" i="7"/>
  <c r="I38" i="7"/>
  <c r="J38" i="7" s="1"/>
  <c r="E23" i="7"/>
  <c r="I19" i="7"/>
  <c r="E13" i="7"/>
  <c r="I13" i="7"/>
  <c r="J13" i="7" s="1"/>
  <c r="E10" i="7"/>
  <c r="F21" i="7" l="1"/>
  <c r="K21" i="7"/>
  <c r="F22" i="7"/>
  <c r="K22" i="7"/>
  <c r="U37" i="12"/>
  <c r="Y36" i="12"/>
  <c r="F8" i="7"/>
  <c r="K8" i="7"/>
  <c r="E64" i="7"/>
  <c r="J8" i="7"/>
  <c r="I64" i="7"/>
  <c r="F63" i="7"/>
  <c r="K63" i="7"/>
  <c r="F62" i="7"/>
  <c r="K62" i="7"/>
  <c r="F61" i="7"/>
  <c r="K61" i="7"/>
  <c r="F60" i="7"/>
  <c r="K60" i="7"/>
  <c r="F59" i="7"/>
  <c r="K59" i="7"/>
  <c r="F58" i="7"/>
  <c r="K58" i="7"/>
  <c r="F57" i="7"/>
  <c r="K57" i="7"/>
  <c r="F56" i="7"/>
  <c r="K56" i="7"/>
  <c r="F49" i="7"/>
  <c r="K49" i="7"/>
  <c r="F39" i="7"/>
  <c r="K39" i="7"/>
  <c r="F20" i="7"/>
  <c r="K20" i="7"/>
  <c r="F18" i="7"/>
  <c r="K18" i="7"/>
  <c r="F14" i="7"/>
  <c r="K14" i="7"/>
  <c r="F55" i="7"/>
  <c r="K55" i="7"/>
  <c r="F54" i="7"/>
  <c r="K54" i="7"/>
  <c r="F53" i="7"/>
  <c r="K53" i="7"/>
  <c r="F52" i="7"/>
  <c r="K52" i="7"/>
  <c r="F51" i="7"/>
  <c r="K51" i="7"/>
  <c r="F50" i="7"/>
  <c r="K50" i="7"/>
  <c r="F48" i="7"/>
  <c r="K48" i="7"/>
  <c r="F38" i="7"/>
  <c r="K38" i="7"/>
  <c r="F15" i="7"/>
  <c r="K15" i="7"/>
  <c r="F46" i="7"/>
  <c r="K46" i="7"/>
  <c r="F45" i="7"/>
  <c r="K45" i="7"/>
  <c r="F44" i="7"/>
  <c r="K44" i="7"/>
  <c r="F43" i="7"/>
  <c r="K43" i="7"/>
  <c r="F42" i="7"/>
  <c r="K42" i="7"/>
  <c r="F41" i="7"/>
  <c r="K41" i="7"/>
  <c r="F40" i="7"/>
  <c r="K40" i="7"/>
  <c r="F37" i="7"/>
  <c r="K37" i="7"/>
  <c r="F36" i="7"/>
  <c r="K36" i="7"/>
  <c r="F35" i="7"/>
  <c r="K35" i="7"/>
  <c r="F34" i="7"/>
  <c r="K34" i="7"/>
  <c r="F33" i="7"/>
  <c r="K33" i="7"/>
  <c r="F32" i="7"/>
  <c r="K32" i="7"/>
  <c r="F31" i="7"/>
  <c r="K31" i="7"/>
  <c r="F30" i="7"/>
  <c r="K30" i="7"/>
  <c r="F29" i="7"/>
  <c r="K29" i="7"/>
  <c r="F17" i="7"/>
  <c r="K17" i="7"/>
  <c r="F11" i="7"/>
  <c r="K11" i="7"/>
  <c r="K28" i="7"/>
  <c r="J28" i="7"/>
  <c r="F27" i="7"/>
  <c r="K27" i="7"/>
  <c r="F26" i="7"/>
  <c r="K26" i="7"/>
  <c r="F25" i="7"/>
  <c r="K25" i="7"/>
  <c r="F24" i="7"/>
  <c r="K24" i="7"/>
  <c r="F16" i="7"/>
  <c r="K16" i="7"/>
  <c r="K12" i="7"/>
  <c r="J12" i="7"/>
  <c r="F9" i="7"/>
  <c r="K9" i="7"/>
  <c r="F47" i="7"/>
  <c r="K47" i="7"/>
  <c r="F23" i="7"/>
  <c r="K23" i="7"/>
  <c r="K19" i="7"/>
  <c r="J19" i="7"/>
  <c r="F13" i="7"/>
  <c r="K13" i="7"/>
  <c r="F10" i="7"/>
  <c r="K10" i="7"/>
  <c r="J64" i="7" l="1"/>
  <c r="Y37" i="12"/>
  <c r="U49" i="12"/>
  <c r="Z37" i="12"/>
  <c r="L8" i="12"/>
  <c r="L10" i="12" s="1"/>
  <c r="L16" i="12" s="1"/>
  <c r="F64" i="7"/>
  <c r="K64" i="7"/>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<sst xmlns="http://schemas.openxmlformats.org/spreadsheetml/2006/main" count="1498" uniqueCount="1184">
  <si>
    <t>llm_README - Workbook Documentation</t>
  </si>
  <si>
    <t>WORKBOOK SUMMARY</t>
  </si>
  <si>
    <t>Business Purpose:</t>
  </si>
  <si>
    <t>Construction/Real Estate project budget management system. Tracks job setup, forecasts, budgets, vendor details, tenant estimates, and payment applications. Contains logging mechanisms for budget changes and error tracking.</t>
  </si>
  <si>
    <t>Metrics:</t>
  </si>
  <si>
    <t>- Total Sheets:</t>
  </si>
  <si>
    <t>11 (excluding llm_README)</t>
  </si>
  <si>
    <t>- Visible Sheets:</t>
  </si>
  <si>
    <t>11</t>
  </si>
  <si>
    <t>- Hidden Sheets:</t>
  </si>
  <si>
    <t>0</t>
  </si>
  <si>
    <t>- Generation Mode:</t>
  </si>
  <si>
    <t>standard</t>
  </si>
  <si>
    <t>- Generated:</t>
  </si>
  <si>
    <t>2025-08-03T04:47:55.965Z</t>
  </si>
  <si>
    <t>SHEET DETAILS</t>
  </si>
  <si>
    <t>Sheet: 00_JobSetup</t>
  </si>
  <si>
    <t>- Dimensions:</t>
  </si>
  <si>
    <t>37 rows x 18 columns</t>
  </si>
  <si>
    <t>- Used Range:</t>
  </si>
  <si>
    <t>B2:D31</t>
  </si>
  <si>
    <t>- Headers:</t>
  </si>
  <si>
    <t>Row 7: Vendor (B7), Category (C7), Forecasted Cost Type (D7)</t>
  </si>
  <si>
    <t>Sheet: 01_ForecastLog</t>
  </si>
  <si>
    <t>66 rows x 6 columns</t>
  </si>
  <si>
    <t>B2:S38</t>
  </si>
  <si>
    <t>═══════════════════════════════════════════</t>
  </si>
  <si>
    <t>DETAILED SHEET ANALYSIS</t>
  </si>
  <si>
    <t>1. 00_JobSetup (Type: Setup)</t>
  </si>
  <si>
    <t xml:space="preserve">   Dimensions:</t>
  </si>
  <si>
    <t>37 rows × 18 columns</t>
  </si>
  <si>
    <t xml:space="preserve">   Used Range:</t>
  </si>
  <si>
    <t>A1:D31</t>
  </si>
  <si>
    <t xml:space="preserve">   Purpose:</t>
  </si>
  <si>
    <t>Initial job configuration with property details and vendor assignments</t>
  </si>
  <si>
    <t xml:space="preserve">   Headers Found:</t>
  </si>
  <si>
    <t>A7:, B7:Vendor, C7:Category, D7:Forecasted Cost Type</t>
  </si>
  <si>
    <t>2. 01_ForecastLog (Type: Log)</t>
  </si>
  <si>
    <t>66 rows × 6 columns</t>
  </si>
  <si>
    <t>A1:S38</t>
  </si>
  <si>
    <t>Tracks forecast changes and budget modifications over time</t>
  </si>
  <si>
    <t>A7:, B7:Category, C7:Budget Type, D7:Budget Amount, E7:Budget Status, F7:Date Entered, G7:Budget Notes, H7:, I7:, J7:, K7:, L7:, M7:, N7:, O7:, P7:, Q7:, R7:, S7:</t>
  </si>
  <si>
    <t>3. 02_BudgetLog (Type: Log)</t>
  </si>
  <si>
    <t>62 rows × 12 columns</t>
  </si>
  <si>
    <t>A1:G67</t>
  </si>
  <si>
    <t>4-10. Additional Sheets Summary:</t>
  </si>
  <si>
    <t>Detailed budget tracking log with categories and amounts</t>
  </si>
  <si>
    <t xml:space="preserve">   • 03_BudgetReport:</t>
  </si>
  <si>
    <t>A7:, B7:Category, C7:Original Budget, D7:Approved Changes, E7:Revised Budget, F7:Revised Budget PSF, G7:Committed Cost</t>
  </si>
  <si>
    <t>Consolidated budget reporting with actuals vs forecasts</t>
  </si>
  <si>
    <t xml:space="preserve">   • 04_VendorDetail:</t>
  </si>
  <si>
    <t>Vendor information and contract details</t>
  </si>
  <si>
    <t xml:space="preserve">   • zz_data:</t>
  </si>
  <si>
    <t>Master data table with property and vendor information</t>
  </si>
  <si>
    <t xml:space="preserve">   • ErrorLog:</t>
  </si>
  <si>
    <t>System error tracking and debugging log</t>
  </si>
  <si>
    <t xml:space="preserve">   • zzz_yardi import:</t>
  </si>
  <si>
    <t>Yardi system data import staging area</t>
  </si>
  <si>
    <t xml:space="preserve">   • TENANT_ESTIMATE:</t>
  </si>
  <si>
    <t>Tenant improvement cost estimates</t>
  </si>
  <si>
    <t xml:space="preserve">   • PAY_APP:</t>
  </si>
  <si>
    <t>Payment application processing</t>
  </si>
  <si>
    <t>GLOBAL ANALYSIS</t>
  </si>
  <si>
    <t>• 00_JobSetup → references tblProperties table (in 04_VendorDetail sheet)</t>
  </si>
  <si>
    <t>• 00_JobSetup → references tblProperties table (likely in zz_data)</t>
  </si>
  <si>
    <t>• BudgetLog/ForecastLog → feed into BudgetReport</t>
  </si>
  <si>
    <t>• PAY_APP → processes vendor payments from VendorDetail</t>
  </si>
  <si>
    <t>• zzz_yardi import → external data source integration</t>
  </si>
  <si>
    <t>Identified Risks:</t>
  </si>
  <si>
    <t>• [MEDIUM] INDEX/MATCH formulas without error handling</t>
  </si>
  <si>
    <t>• [LOW] Multiple sheets with similar names (potential confusion)</t>
  </si>
  <si>
    <t>• [MEDIUM] No apparent data validation on input fields</t>
  </si>
  <si>
    <t>• [LOW] Inconsistent naming convention (mix of numbered/named sheets)</t>
  </si>
  <si>
    <t>Recommendations:</t>
  </si>
  <si>
    <t>1. Add IFERROR wrapper to INDEX/MATCH formulas</t>
  </si>
  <si>
    <t>2. Implement data validation on key input fields</t>
  </si>
  <si>
    <t>3. Create named ranges for frequently referenced cells</t>
  </si>
  <si>
    <t>4. Consider prefixing sheets (INP_, CALC_, OUT_, CHK_)</t>
  </si>
  <si>
    <t>5. Add error handling to external data imports</t>
  </si>
  <si>
    <t>Generated by llm_README v4.0 — 2025-08-02 — Optimizer ≥ 2.6, Agent ≥ 4.1</t>
  </si>
  <si>
    <t>Structured Tables Found:</t>
  </si>
  <si>
    <t>• 00_JobSetup: tblForecastLog (B7:H37)</t>
  </si>
  <si>
    <t>• 01_ForecastLog: tblBudetLog (B7:G67)</t>
  </si>
  <si>
    <t>• 02_BudgetLog: tblBudget (B7:M64)</t>
  </si>
  <si>
    <t>• 04_VendorDetail: tblProperties (B1:C63)</t>
  </si>
  <si>
    <t>• 04_VendorDetail: tblVendors (G1:H124)</t>
  </si>
  <si>
    <t>• 04_VendorDetail: tblCostCodes (J1:L95)</t>
  </si>
  <si>
    <t>• 04_VendorDetail: tblLookups (N1:T16)</t>
  </si>
  <si>
    <t>• 04_VendorDetail: ProjectManagers (E1:E6)</t>
  </si>
  <si>
    <t>Data Organization:</t>
  </si>
  <si>
    <t>• Master data tables are centralized in 04_VendorDetail sheet</t>
  </si>
  <si>
    <t>• Error logging tracked in ErrorLog sheet</t>
  </si>
  <si>
    <t>• Budget workflow: ForecastLog → BudgetLog → BudgetReport</t>
  </si>
  <si>
    <t>• External integration via zzz_yardi import sheet</t>
  </si>
  <si>
    <t>RJK CONSTRUCTION - BUDGET TRACKER</t>
  </si>
  <si>
    <r>
      <rPr>
        <b/>
        <u/>
        <sz val="14"/>
        <color rgb="FF00304D"/>
        <rFont val="Poppins"/>
      </rPr>
      <t>Purpose</t>
    </r>
    <r>
      <rPr>
        <sz val="14"/>
        <color rgb="FF00304D"/>
        <rFont val="Poppins"/>
      </rPr>
      <t xml:space="preserve">: </t>
    </r>
  </si>
  <si>
    <t>This workbook is the new required standard for all budgeting, estimating, job tracking, and forecasting of any kind for construction projects at RJ Kelly.</t>
  </si>
  <si>
    <t>Color Legend:</t>
  </si>
  <si>
    <t xml:space="preserve">Cells in blue font are for manual input by Project Managers.  All other cells are locked. </t>
  </si>
  <si>
    <t>Cells in black font are formula's and are not able to be edited</t>
  </si>
  <si>
    <t>Workflow:</t>
  </si>
  <si>
    <r>
      <rPr>
        <b/>
        <sz val="13"/>
        <color theme="1"/>
        <rFont val="Poppins"/>
      </rPr>
      <t>Step 1: Job Setup</t>
    </r>
    <r>
      <rPr>
        <sz val="13"/>
        <color theme="1"/>
        <rFont val="Poppins"/>
      </rPr>
      <t>: 
Navigate to '01_Job Setup' tab and fill in the project's high-level details and scope of work.</t>
    </r>
  </si>
  <si>
    <r>
      <rPr>
        <b/>
        <sz val="13"/>
        <color theme="1"/>
        <rFont val="Poppins"/>
      </rPr>
      <t>Step 2: Build Forecast &amp; Budget:</t>
    </r>
    <r>
      <rPr>
        <sz val="13"/>
        <color theme="1"/>
        <rFont val="Poppins"/>
      </rPr>
      <t xml:space="preserve"> 
Use Commitment, Estimate, and Budget Logs to create Forecast and Budget amounts that populate  in '05_Budget_Report'. Based on Cost Code Category and Vendor. 
  -'</t>
    </r>
    <r>
      <rPr>
        <b/>
        <u/>
        <sz val="13"/>
        <color theme="1"/>
        <rFont val="Poppins"/>
      </rPr>
      <t>02_Commitment_Log</t>
    </r>
    <r>
      <rPr>
        <u/>
        <sz val="13"/>
        <color theme="1"/>
        <rFont val="Poppins"/>
      </rPr>
      <t xml:space="preserve">' </t>
    </r>
    <r>
      <rPr>
        <sz val="13"/>
        <color theme="1"/>
        <rFont val="Poppins"/>
      </rPr>
      <t xml:space="preserve">: Record Subcontracts, Subcontract Change Orders, and Material Purchase Orders.  </t>
    </r>
    <r>
      <rPr>
        <b/>
        <sz val="13"/>
        <color theme="1"/>
        <rFont val="Poppins"/>
      </rPr>
      <t xml:space="preserve">Feeds into PM Forecast </t>
    </r>
    <r>
      <rPr>
        <sz val="13"/>
        <color theme="1"/>
        <rFont val="Poppins"/>
      </rPr>
      <t>when 'Approved' status.
  -'</t>
    </r>
    <r>
      <rPr>
        <b/>
        <u/>
        <sz val="13"/>
        <color theme="1"/>
        <rFont val="Poppins"/>
      </rPr>
      <t>03_PCC_Log</t>
    </r>
    <r>
      <rPr>
        <u/>
        <sz val="13"/>
        <color theme="1"/>
        <rFont val="Poppins"/>
      </rPr>
      <t xml:space="preserve">' </t>
    </r>
    <r>
      <rPr>
        <sz val="13"/>
        <color theme="1"/>
        <rFont val="Poppins"/>
      </rPr>
      <t xml:space="preserve">: Record Probably Construction Cost (PCC) estimates. </t>
    </r>
    <r>
      <rPr>
        <b/>
        <sz val="13"/>
        <color theme="1"/>
        <rFont val="Poppins"/>
      </rPr>
      <t xml:space="preserve"> Feeds into PM Forecast</t>
    </r>
    <r>
      <rPr>
        <sz val="13"/>
        <color theme="1"/>
        <rFont val="Poppins"/>
      </rPr>
      <t xml:space="preserve"> when 'Approved' status.
  -'</t>
    </r>
    <r>
      <rPr>
        <b/>
        <u/>
        <sz val="13"/>
        <color theme="1"/>
        <rFont val="Poppins"/>
      </rPr>
      <t>04_Budget_Log</t>
    </r>
    <r>
      <rPr>
        <u/>
        <sz val="13"/>
        <color theme="1"/>
        <rFont val="Poppins"/>
      </rPr>
      <t xml:space="preserve">' </t>
    </r>
    <r>
      <rPr>
        <sz val="13"/>
        <color theme="1"/>
        <rFont val="Poppins"/>
      </rPr>
      <t xml:space="preserve">: Record Original Budget and any Budget changes. </t>
    </r>
    <r>
      <rPr>
        <b/>
        <sz val="13"/>
        <color theme="1"/>
        <rFont val="Poppins"/>
      </rPr>
      <t>Feeds into Original and Revised Budget.</t>
    </r>
  </si>
  <si>
    <r>
      <rPr>
        <b/>
        <sz val="13"/>
        <color theme="1"/>
        <rFont val="Poppins"/>
      </rPr>
      <t xml:space="preserve">Step 3: Tracking and Updating Budget:
</t>
    </r>
    <r>
      <rPr>
        <sz val="13"/>
        <color theme="1"/>
        <rFont val="Poppins"/>
      </rPr>
      <t>Track &amp; Forecast: As the job progresses:
 - Log all contracts and POs in the '03_Commitment_Log'.
 - Log all budget changes in the '04_Change_Order_Log'.
 - Regularly update the 'Invoiced Cost' and 'PM Forecasted Final Cost' columns on the '02_Budget_Forecast' sheet to maintain an accurate projection.</t>
    </r>
  </si>
  <si>
    <t>PROJECT COST MANAGEMENT WORKBOOK - COMPREHENSIVE README</t>
  </si>
  <si>
    <t>Generated: 2025-07-20 00:29 UTC</t>
  </si>
  <si>
    <t>OVERVIEW</t>
  </si>
  <si>
    <t>This workbook is RJK Construction's standardized project cost management system for budget tracking, forecasting, and financial reporting of construction projects. It integrates job setup parameters, commitment logging, potential cost tracking, and budget management into a comprehensive dashboard that provides real-time budget vs. actual analysis with Power Pivot data model integration for historical invoice tracking.</t>
  </si>
  <si>
    <t>WORKBOOK STRUCTURE</t>
  </si>
  <si>
    <t>• Total Sheets: 11</t>
  </si>
  <si>
    <t>• Structured Tables: 8 (tblCommitments, tblPotentialCosts, tblBudetLog, tblBudget, tblProperties, tblVendors, tblCostCodes, tblLookups, ProjectManagers)</t>
  </si>
  <si>
    <t>• Power Pivot Data Model: Yes (ThisWorkbookDataModel with CUBE formulas)</t>
  </si>
  <si>
    <t>• VBA Macros: None</t>
  </si>
  <si>
    <t>• Charts: None currently</t>
  </si>
  <si>
    <t>SHEET-BY-SHEET GUIDE</t>
  </si>
  <si>
    <t>1. README_Instructions</t>
  </si>
  <si>
    <t xml:space="preserve">   • Purpose: Basic user instructions and color legend</t>
  </si>
  <si>
    <t xml:space="preserve">   • Key Info: Blue font = manual input by PMs, Black font = locked formulas</t>
  </si>
  <si>
    <t xml:space="preserve">   • Workflow: Job Setup → Build Forecast &amp; Budget using logs</t>
  </si>
  <si>
    <t>2. 01_Job_Setup (INPUT SHEET)</t>
  </si>
  <si>
    <t xml:space="preserve">   • Purpose: Project configuration and high-level parameters</t>
  </si>
  <si>
    <t xml:space="preserve">   • Key Fields: Property (12inno), Job Name (12Inno Bldg Demise), PM (Doug Malone), Status (BUDGETING), Type (CAPEX)</t>
  </si>
  <si>
    <t xml:space="preserve">   • Dependencies: Feeds project info to all other sheets via cell references</t>
  </si>
  <si>
    <t xml:space="preserve">   • User Action: Complete all blue font fields before proceeding to logs</t>
  </si>
  <si>
    <t>3. 02_Commitment_Log (INPUT SHEET)</t>
  </si>
  <si>
    <t xml:space="preserve">   • Purpose: Record subcontracts, change orders, and purchase orders</t>
  </si>
  <si>
    <t xml:space="preserve">   • Table: tblCommitments (linked to Budget Forecast)</t>
  </si>
  <si>
    <t xml:space="preserve">   • Key Fields: Category, Vendor, Commitment Amount, Status</t>
  </si>
  <si>
    <t xml:space="preserve">   • Formula Logic: Only 'Approved' status commitments feed into forecast</t>
  </si>
  <si>
    <t>4. 03_PCC_Log (INPUT SHEET)</t>
  </si>
  <si>
    <t xml:space="preserve">   • Purpose: Track Probable Construction Cost estimates</t>
  </si>
  <si>
    <t xml:space="preserve">   • Table: tblPotentialCosts (linked to Budget Forecast)</t>
  </si>
  <si>
    <t xml:space="preserve">   • Key Fields: Category, PCC Amount, Status</t>
  </si>
  <si>
    <t xml:space="preserve">   • Formula Logic: Only 'Approved' status PCCs feed into forecast</t>
  </si>
  <si>
    <t>5. ErrorLog (SYSTEM SHEET)</t>
  </si>
  <si>
    <t xml:space="preserve">   • Purpose: Tracks system errors and validation issues</t>
  </si>
  <si>
    <t xml:space="preserve">   • Usage: Monitor for data integrity problems</t>
  </si>
  <si>
    <t>6. 04_Budget_Log (INPUT SHEET)</t>
  </si>
  <si>
    <t xml:space="preserve">   • Purpose: Record original budgets and budget adjustments</t>
  </si>
  <si>
    <t xml:space="preserve">   • Table: tblBudetLog (feeds Budget Forecast)</t>
  </si>
  <si>
    <t xml:space="preserve">   • Key Fields: Category, Budget Type (Original Budget/Budget Adjustment), Budget Amount</t>
  </si>
  <si>
    <t>7. 05_Budget_Forecast (OUTPUT DASHBOARD)</t>
  </si>
  <si>
    <t xml:space="preserve">   • Purpose: Main reporting dashboard with comprehensive budget analysis</t>
  </si>
  <si>
    <t xml:space="preserve">   • Table: tblBudget (calculated output table)</t>
  </si>
  <si>
    <t xml:space="preserve">   • Key Calculations:</t>
  </si>
  <si>
    <t xml:space="preserve">     - Revised Budget = Original Budget + Approved Changes</t>
  </si>
  <si>
    <t xml:space="preserve">     - Forecasted Final Cost = Committed Cost + PCC</t>
  </si>
  <si>
    <t xml:space="preserve">     - Forecasted (Over)/Under = Revised Budget - Forecasted Final Cost</t>
  </si>
  <si>
    <t xml:space="preserve">   • Advanced Features: Dynamic category list with LET formulas, CUBE formulas for historical data</t>
  </si>
  <si>
    <t>8. zz_data (REFERENCE DATA)</t>
  </si>
  <si>
    <t xml:space="preserve">   • Purpose: Master data tables for lookups and validation</t>
  </si>
  <si>
    <t xml:space="preserve">   • Tables: tblProperties, tblVendors, tblCostCodes, tblLookups, ProjectManagers</t>
  </si>
  <si>
    <t xml:space="preserve">   • Largest dataset: 123 rows × 19 columns</t>
  </si>
  <si>
    <t>9. zzz_yardi import (DATA IMPORT)</t>
  </si>
  <si>
    <t xml:space="preserve">   • Purpose: Staging area for Yardi system data imports</t>
  </si>
  <si>
    <t xml:space="preserve">   • Size: 27 rows × 6 columns</t>
  </si>
  <si>
    <t>10. TENANT_ESTIMATE (CALCULATION SHEET)</t>
  </si>
  <si>
    <t xml:space="preserve">    • Purpose: Tenant-specific cost estimates and allocations</t>
  </si>
  <si>
    <t xml:space="preserve">    • Size: 25 rows × 4 columns</t>
  </si>
  <si>
    <t>11. PAY_APP (PAYMENT APPLICATION)</t>
  </si>
  <si>
    <t xml:space="preserve">    • Purpose: Payment application processing and tracking</t>
  </si>
  <si>
    <t xml:space="preserve">    • Size: 49 rows × 31 columns</t>
  </si>
  <si>
    <t xml:space="preserve">    • Known Issues: Multiple #VALUE! errors in calculated columns V, Y, Z</t>
  </si>
  <si>
    <t>DATA FLOW WORKFLOW</t>
  </si>
  <si>
    <t>┌─────────────────┐    ┌──────────────────┐    ┌─────────────────┐</t>
  </si>
  <si>
    <t>│   01_Job_Setup  │───▶│   Log Sheets     │───▶│ 05_Budget_     │</t>
  </si>
  <si>
    <t>│   (Parameters)  │    │ • Commitment Log │    │ Forecast        │</t>
  </si>
  <si>
    <t>│                 │    │ • PCC Log        │    │ (Dashboard)     │</t>
  </si>
  <si>
    <t>│                 │    │ • Budget Log     │    │                 │</t>
  </si>
  <si>
    <t>└─────────────────┘    └──────────────────┘    └─────────────────┘</t>
  </si>
  <si>
    <t xml:space="preserve">        │                       │                        ▲</t>
  </si>
  <si>
    <t xml:space="preserve">        │              ┌────────▼────────┐               │</t>
  </si>
  <si>
    <t xml:space="preserve">        │              │    zz_data      │               │</t>
  </si>
  <si>
    <t xml:space="preserve">        │              │ (Reference      │               │</t>
  </si>
  <si>
    <t xml:space="preserve">        │              │  Tables)        │               │</t>
  </si>
  <si>
    <t xml:space="preserve">        │              └─────────────────┘               │</t>
  </si>
  <si>
    <t xml:space="preserve">        │                                                  │</t>
  </si>
  <si>
    <t xml:space="preserve">        ▼                                                  │</t>
  </si>
  <si>
    <t>┌─────────────────┐              ┌─────────────────────────┘</t>
  </si>
  <si>
    <t>│ Power Pivot     │              │ CUBE Formulas</t>
  </si>
  <si>
    <t>│ Data Model      │◀─────────────┤ (Historical Data)</t>
  </si>
  <si>
    <t>│ (Historical)    │              │</t>
  </si>
  <si>
    <t>└─────────────────┘              └</t>
  </si>
  <si>
    <t>USER INSTRUCTIONS</t>
  </si>
  <si>
    <t>STEP 1: Initial Project Setup</t>
  </si>
  <si>
    <t>• Navigate to '01_Job_Setup' tab</t>
  </si>
  <si>
    <t>• Complete all fields with blue font (manual input)</t>
  </si>
  <si>
    <t>• Critical fields: Property code, Job name, Project Manager, Status, Type</t>
  </si>
  <si>
    <t>• Ensure Yardi Job Code is accurate for system integration</t>
  </si>
  <si>
    <t>STEP 2: Budget Entry</t>
  </si>
  <si>
    <t>• Use '04_Budget_Log' to enter original budget amounts by category</t>
  </si>
  <si>
    <t>• Budget Type options: 'Original Budget' or 'Budget Adjustment'</t>
  </si>
  <si>
    <t>• Categories must match reference data in zz_data sheet</t>
  </si>
  <si>
    <t>STEP 3: Commitment Tracking</t>
  </si>
  <si>
    <t>• Record all subcontracts and purchase orders in '02_Commitment_Log'</t>
  </si>
  <si>
    <t>• Set Status to 'Approved' only when commitment is finalized</t>
  </si>
  <si>
    <t>• Link to vendors in tblVendors for consistency</t>
  </si>
  <si>
    <t>STEP 4: Potential Cost Estimates</t>
  </si>
  <si>
    <t>• Use '03_PCC_Log' for probable construction cost estimates</t>
  </si>
  <si>
    <t>• Only set Status to 'Approved' for realistic estimates</t>
  </si>
  <si>
    <t>• PCC amounts help project final costs before commitments</t>
  </si>
  <si>
    <t>STEP 5: Monitor Dashboard</t>
  </si>
  <si>
    <t>• Review '05_Budget_Forecast' for real-time budget analysis</t>
  </si>
  <si>
    <t>• Key metrics: Forecasted (Over)/Under budget by category</t>
  </si>
  <si>
    <t>• Monitor categories showing potential overruns</t>
  </si>
  <si>
    <t>DATA REFRESH INSTRUCTIONS</t>
  </si>
  <si>
    <t>• Budget Forecast updates automatically when log data changes</t>
  </si>
  <si>
    <t>• Power Pivot refresh: Data &gt; Refresh All (for historical CUBE data)</t>
  </si>
  <si>
    <t>• Manual calculation: Ctrl+Alt+F9 (if calculation mode is manual)</t>
  </si>
  <si>
    <t>KEY FORMULAS &amp; TECHNICAL FEATURES</t>
  </si>
  <si>
    <t>ADVANCED FORMULAS IN BUDGET FORECAST:</t>
  </si>
  <si>
    <t>• Dynamic Category List (Column B):</t>
  </si>
  <si>
    <t xml:space="preserve">  LET formula combining table categories with Power Pivot members</t>
  </si>
  <si>
    <t xml:space="preserve">  - Aggregates categories from: tblPotentialCosts, tblCommitments, tblBudetLog</t>
  </si>
  <si>
    <t xml:space="preserve">  - Merges with CUBE data model categories using CUBESET/CUBERANKEDMEMBER</t>
  </si>
  <si>
    <t xml:space="preserve">  - Eliminates duplicates and sorts alphabetically</t>
  </si>
  <si>
    <t>• Budget Calculations (Columns C-I):</t>
  </si>
  <si>
    <t xml:space="preserve">  - SUMIFS formulas linking to structured table references</t>
  </si>
  <si>
    <t xml:space="preserve">  - Status-dependent logic (only 'Approved' items included)</t>
  </si>
  <si>
    <t xml:space="preserve">  - Table references: [@Category] for dynamic row context</t>
  </si>
  <si>
    <t>• Historical Data Integration (Column J):</t>
  </si>
  <si>
    <t xml:space="preserve">  - CUBEVALUE formulas accessing ThisWorkbookDataModel</t>
  </si>
  <si>
    <t xml:space="preserve">  - Measure: [Amount by _Category] for invoice history</t>
  </si>
  <si>
    <t xml:space="preserve">  - Dynamic member reference using CUBEMEMBER function</t>
  </si>
  <si>
    <t xml:space="preserve">  - IFNA error handling for missing categories</t>
  </si>
  <si>
    <t>STRUCTURED TABLE RELATIONSHIPS:</t>
  </si>
  <si>
    <t>• tblCommitments → Budget Forecast (Committed Cost column)</t>
  </si>
  <si>
    <t>• tblPotentialCosts → Budget Forecast (PCC column)</t>
  </si>
  <si>
    <t>• tblBudetLog → Budget Forecast (Original Budget &amp; Approved Changes)</t>
  </si>
  <si>
    <t>• tblProperties → Job Setup validation and display names</t>
  </si>
  <si>
    <t>• Power Pivot Model → Historical invoice data via CUBE formulas</t>
  </si>
  <si>
    <t>KNOWN ISSUES &amp; RISK AREAS</t>
  </si>
  <si>
    <t>IMMEDIATE ATTENTION REQUIRED:</t>
  </si>
  <si>
    <t>• PAY_APP Sheet: Multiple #VALUE! errors in calculation columns V, Y, Z</t>
  </si>
  <si>
    <t xml:space="preserve">  - Affects payment application accuracy</t>
  </si>
  <si>
    <t xml:space="preserve">  - Requires formula review and correction</t>
  </si>
  <si>
    <t>• CUBE Formula Errors: #NAME? errors in Budget Forecast Column J</t>
  </si>
  <si>
    <t xml:space="preserve">  - Power Pivot data model may need refresh</t>
  </si>
  <si>
    <t xml:space="preserve">  - Check Power Pivot connection and measures</t>
  </si>
  <si>
    <t>PERFORMANCE CONSIDERATIONS:</t>
  </si>
  <si>
    <t>• Complex LET formulas in Budget Forecast may slow recalculation</t>
  </si>
  <si>
    <t>• CUBE formulas are volatile and recalculate frequently</t>
  </si>
  <si>
    <t>• Large dataset in zz_data (123×19) affects lookup performance</t>
  </si>
  <si>
    <t>• Consider manual calculation mode during heavy data entry</t>
  </si>
  <si>
    <t>DATA INTEGRITY RISKS:</t>
  </si>
  <si>
    <t>• Category consistency across all log tables critical for accurate reporting</t>
  </si>
  <si>
    <t>• Status field validation needed (should be dropdown with Approved/Pending)</t>
  </si>
  <si>
    <t>• No data validation on numeric fields (budget amounts, costs)</t>
  </si>
  <si>
    <t>• Missing error handling for deleted reference data</t>
  </si>
  <si>
    <t>IMPROVEMENT RECOMMENDATIONS</t>
  </si>
  <si>
    <t>IMMEDIATE IMPROVEMENTS (High Priority):</t>
  </si>
  <si>
    <t>1. Fix PAY_APP calculation errors - resolve #VALUE! errors</t>
  </si>
  <si>
    <t>2. Repair Power Pivot connection - resolve #NAME? errors in CUBE formulas</t>
  </si>
  <si>
    <t>3. Add data validation dropdowns:</t>
  </si>
  <si>
    <t xml:space="preserve">   • Status fields: Approved, Pending, Cancelled</t>
  </si>
  <si>
    <t xml:space="preserve">   • Categories: Link to zz_data cost code list</t>
  </si>
  <si>
    <t xml:space="preserve">   • Vendors: Link to tblVendors</t>
  </si>
  <si>
    <t>FORMULA OPTIMIZATION (Medium Priority):</t>
  </si>
  <si>
    <t>4. Convert complex LET formulas to named ranges or LAMBDA functions</t>
  </si>
  <si>
    <t>5. Replace CUBE formulas with direct table relationships where possible</t>
  </si>
  <si>
    <t>6. Implement structured references consistently across all sheets</t>
  </si>
  <si>
    <t>7. Add error handling with IFERROR wrapping for critical calculations</t>
  </si>
  <si>
    <t>USER EXPERIENCE ENHANCEMENTS (Lower Priority):</t>
  </si>
  <si>
    <t>8. Add charts to Budget Forecast for visual budget vs. actual analysis</t>
  </si>
  <si>
    <t>9. Create summary dashboard with KPI metrics</t>
  </si>
  <si>
    <t>10. Implement conditional formatting for over-budget categories</t>
  </si>
  <si>
    <t>11. Add print-friendly formatting and page breaks</t>
  </si>
  <si>
    <t>12. Create user input forms with VBA for easier data entry</t>
  </si>
  <si>
    <t>VERSION CONTROL &amp; MAINTENANCE</t>
  </si>
  <si>
    <t>• Save incremental versions when making structural changes</t>
  </si>
  <si>
    <t>• Recommended naming: ProjectName_BudgetTracker_v1.0.xlsx</t>
  </si>
  <si>
    <t>Job Setup</t>
  </si>
  <si>
    <t>Property:</t>
  </si>
  <si>
    <t>40mallrd</t>
  </si>
  <si>
    <t>Job Name:</t>
  </si>
  <si>
    <t>40 Mall Rd Ste 206 PreTI</t>
  </si>
  <si>
    <t>Job SF:</t>
  </si>
  <si>
    <t>Project Manager:</t>
  </si>
  <si>
    <t>Craig Sorbello</t>
  </si>
  <si>
    <t>Job Status:</t>
  </si>
  <si>
    <t>IN PROGRESS</t>
  </si>
  <si>
    <t>Job Type:</t>
  </si>
  <si>
    <t>PRE TI</t>
  </si>
  <si>
    <t>Projected Start Date:</t>
  </si>
  <si>
    <t>Boots in ground? Permit submitted? When?</t>
  </si>
  <si>
    <t>Projected Completion Date:</t>
  </si>
  <si>
    <t>C of O?</t>
  </si>
  <si>
    <t>Yardi Job Code:</t>
  </si>
  <si>
    <t>dev-23</t>
  </si>
  <si>
    <t>Scope of Work:</t>
  </si>
  <si>
    <t>Fee/Contingency Setup</t>
  </si>
  <si>
    <t>CM Fee % :</t>
  </si>
  <si>
    <t>007400 - Construction Management Fee</t>
  </si>
  <si>
    <t>GC Fee % :</t>
  </si>
  <si>
    <t>007200 - GC Fee</t>
  </si>
  <si>
    <t>GC Insurance % :</t>
  </si>
  <si>
    <t>007316 - GC Insurance</t>
  </si>
  <si>
    <t>Dev Fee Type :</t>
  </si>
  <si>
    <t>n/a</t>
  </si>
  <si>
    <t>Dev Fee $ :</t>
  </si>
  <si>
    <t>001900 - Development Fee</t>
  </si>
  <si>
    <t>Dev Fee % :</t>
  </si>
  <si>
    <t>Soft Cost Contingency % :</t>
  </si>
  <si>
    <t>001099 - Soft Costs - Other</t>
  </si>
  <si>
    <t>Owner Contingency % :</t>
  </si>
  <si>
    <t>001980 - Owner Const Cost Contingency</t>
  </si>
  <si>
    <t>GC Contingency % :</t>
  </si>
  <si>
    <t>012116 - GC Cost Contingency</t>
  </si>
  <si>
    <t>Billing Setup</t>
  </si>
  <si>
    <t>Client/Tenant:</t>
  </si>
  <si>
    <t>Form Type:</t>
  </si>
  <si>
    <t>Estimate, invoice, pay app</t>
  </si>
  <si>
    <t>Invoice Date:</t>
  </si>
  <si>
    <t>Invoice /AIA #:</t>
  </si>
  <si>
    <t>FORECAST LOG</t>
  </si>
  <si>
    <t xml:space="preserve"> 40 Mall Road</t>
  </si>
  <si>
    <t>maybe remove?</t>
  </si>
  <si>
    <t>Vendor</t>
  </si>
  <si>
    <t>Category</t>
  </si>
  <si>
    <t>Forecasted Cost Type</t>
  </si>
  <si>
    <t>Forecasted Cost Amount</t>
  </si>
  <si>
    <t>Forecasted Cost Status</t>
  </si>
  <si>
    <t>Date Entered</t>
  </si>
  <si>
    <t>Commitment Notes</t>
  </si>
  <si>
    <t>3 Phase Elevator Corp.</t>
  </si>
  <si>
    <t>140010 - Elevator</t>
  </si>
  <si>
    <t>Initial Estimate</t>
  </si>
  <si>
    <t>Pending</t>
  </si>
  <si>
    <t>A &amp; M Roofing &amp; Sheet Metal Co., Inc</t>
  </si>
  <si>
    <t>Boucher Acoustic LLC</t>
  </si>
  <si>
    <t>095000 - Ceilings</t>
  </si>
  <si>
    <t>Subcontract</t>
  </si>
  <si>
    <t>Accepted</t>
  </si>
  <si>
    <t>Commercial Fire Sprinkler, Inc.</t>
  </si>
  <si>
    <t>210010 - Fire Suppression - Total</t>
  </si>
  <si>
    <t>GSD Associates, LLC</t>
  </si>
  <si>
    <t>001010 - Architect Fee</t>
  </si>
  <si>
    <t>Purchase Order</t>
  </si>
  <si>
    <t>Lapery Painting</t>
  </si>
  <si>
    <t>099000 - Painting and Coating</t>
  </si>
  <si>
    <t>Subcontract CO #1</t>
  </si>
  <si>
    <t>Paglia Plastering, Inc.</t>
  </si>
  <si>
    <t>092000 - Framing and Drywall</t>
  </si>
  <si>
    <t>Precision Demolition, Inc.</t>
  </si>
  <si>
    <t>024000 - Demo - Total</t>
  </si>
  <si>
    <t>R&amp;M Glass LLC</t>
  </si>
  <si>
    <t>084300 - Storefronts</t>
  </si>
  <si>
    <t>added 6 windows</t>
  </si>
  <si>
    <t>Rizzo's Floor Covering</t>
  </si>
  <si>
    <t>096000 - Flooring</t>
  </si>
  <si>
    <t>RJK Company, Inc.</t>
  </si>
  <si>
    <t>008010 - Labor - Project Manager</t>
  </si>
  <si>
    <t>Systems Electrical Services Co., Inc.</t>
  </si>
  <si>
    <t>260010 - Electrical - Total</t>
  </si>
  <si>
    <t>Able Air Corp</t>
  </si>
  <si>
    <t>FORECAST AMOUNT:</t>
  </si>
  <si>
    <t>Vendor Detail</t>
  </si>
  <si>
    <t>Vendor Name</t>
  </si>
  <si>
    <t>Change Orders</t>
  </si>
  <si>
    <t>Purchase Orders</t>
  </si>
  <si>
    <t>Total Committed</t>
  </si>
  <si>
    <t>Estimated Cost</t>
  </si>
  <si>
    <t>Invoiced to Date</t>
  </si>
  <si>
    <t>Project Manger Notes</t>
  </si>
  <si>
    <t/>
  </si>
  <si>
    <t>BUDGET LOG</t>
  </si>
  <si>
    <t>Budget Type</t>
  </si>
  <si>
    <t>Budget Amount</t>
  </si>
  <si>
    <t>Budget Status</t>
  </si>
  <si>
    <t>Budget Notes</t>
  </si>
  <si>
    <t>001100 - Building Permits and Fees</t>
  </si>
  <si>
    <t>Original Budget</t>
  </si>
  <si>
    <t>Approved</t>
  </si>
  <si>
    <t>Initial PM Forecast</t>
  </si>
  <si>
    <t>008020 - Labor - Super</t>
  </si>
  <si>
    <t>008030 - Labor - Foreman</t>
  </si>
  <si>
    <t>008050 - Labor - General Labor</t>
  </si>
  <si>
    <t>010010 - General Requirements - Total</t>
  </si>
  <si>
    <t>081000 - Doors, Frames, &amp; Hardware</t>
  </si>
  <si>
    <t>084400 - Blinds</t>
  </si>
  <si>
    <t>230010 - HVAC - Total</t>
  </si>
  <si>
    <t>Total</t>
  </si>
  <si>
    <t>BUDGET REPORT</t>
  </si>
  <si>
    <t>(1)</t>
  </si>
  <si>
    <t>(2)</t>
  </si>
  <si>
    <t xml:space="preserve">(1)+(2)= (3) </t>
  </si>
  <si>
    <t>(a)</t>
  </si>
  <si>
    <t>(b)</t>
  </si>
  <si>
    <t xml:space="preserve">(a)+(b)= (c) </t>
  </si>
  <si>
    <t>(c) - (3)</t>
  </si>
  <si>
    <t>Approved Changes</t>
  </si>
  <si>
    <t>Revised Budget</t>
  </si>
  <si>
    <t>Revised Budget PSF</t>
  </si>
  <si>
    <t>Committed Cost</t>
  </si>
  <si>
    <t>Estimated Costs</t>
  </si>
  <si>
    <t>Forecasted Final Cost</t>
  </si>
  <si>
    <t>Forecasted Cost PSF</t>
  </si>
  <si>
    <t>Forecasted (Over)/Under</t>
  </si>
  <si>
    <t>PropertyCode</t>
  </si>
  <si>
    <t>PropertyName</t>
  </si>
  <si>
    <t>ProjectManager</t>
  </si>
  <si>
    <t>VendorCode</t>
  </si>
  <si>
    <t>VendorName</t>
  </si>
  <si>
    <t>CostCode</t>
  </si>
  <si>
    <t>Description</t>
  </si>
  <si>
    <t>JobType</t>
  </si>
  <si>
    <t>JobStatus</t>
  </si>
  <si>
    <t>DevFeeType</t>
  </si>
  <si>
    <t>ForecastType</t>
  </si>
  <si>
    <t>ForecastStatus</t>
  </si>
  <si>
    <t>BudgetType</t>
  </si>
  <si>
    <t>BudgetStatus</t>
  </si>
  <si>
    <t>Vendors_Dynamic</t>
  </si>
  <si>
    <t>100_q</t>
  </si>
  <si>
    <t xml:space="preserve"> 100 Quannapowitt Parkway</t>
  </si>
  <si>
    <t>Doug Malone</t>
  </si>
  <si>
    <t>3.phase</t>
  </si>
  <si>
    <t>001010</t>
  </si>
  <si>
    <t>Architect Fee</t>
  </si>
  <si>
    <t>TI</t>
  </si>
  <si>
    <t>BUDGETING</t>
  </si>
  <si>
    <t>10columb</t>
  </si>
  <si>
    <t xml:space="preserve"> 10 Columbia Drive</t>
  </si>
  <si>
    <t>amconst</t>
  </si>
  <si>
    <t>A &amp; M Const Co Inc</t>
  </si>
  <si>
    <t>001015 - Landscape Architect</t>
  </si>
  <si>
    <t>001015</t>
  </si>
  <si>
    <t>Landscape Architect</t>
  </si>
  <si>
    <t>SCHEDULED</t>
  </si>
  <si>
    <t xml:space="preserve">Fixed </t>
  </si>
  <si>
    <t>Revised Estimate</t>
  </si>
  <si>
    <t>Budget Adjustment</t>
  </si>
  <si>
    <t>10state</t>
  </si>
  <si>
    <t xml:space="preserve"> 10 State Street</t>
  </si>
  <si>
    <t>Michael Camire</t>
  </si>
  <si>
    <t>amroofing</t>
  </si>
  <si>
    <t>001030 - MEP Engineering Fee</t>
  </si>
  <si>
    <t>001030</t>
  </si>
  <si>
    <t>MEP Engineering Fee</t>
  </si>
  <si>
    <t>CAPEX</t>
  </si>
  <si>
    <t>Percentage</t>
  </si>
  <si>
    <t>Actual Cost</t>
  </si>
  <si>
    <t>Cancelled</t>
  </si>
  <si>
    <t>Change Order</t>
  </si>
  <si>
    <t>Rejected</t>
  </si>
  <si>
    <t>111sbed</t>
  </si>
  <si>
    <t xml:space="preserve"> 111 South Bedford</t>
  </si>
  <si>
    <t>Brendan Leahy</t>
  </si>
  <si>
    <t>rose</t>
  </si>
  <si>
    <t>A J Rose Carpet &amp; Rugs</t>
  </si>
  <si>
    <t>001040 - Civil Engineering Fee</t>
  </si>
  <si>
    <t>001040</t>
  </si>
  <si>
    <t>Civil Engineering Fee</t>
  </si>
  <si>
    <t>DEV</t>
  </si>
  <si>
    <t>COMPLETED</t>
  </si>
  <si>
    <t>11delta</t>
  </si>
  <si>
    <t xml:space="preserve"> 11 Delta Drive</t>
  </si>
  <si>
    <t>Andy Frey</t>
  </si>
  <si>
    <t>abcsupp</t>
  </si>
  <si>
    <t>ABC Supply Co., Inc. - MBA #737</t>
  </si>
  <si>
    <t>001045 - Other Consultant Fees</t>
  </si>
  <si>
    <t>001045</t>
  </si>
  <si>
    <t>Other Consultant Fees</t>
  </si>
  <si>
    <t>GC</t>
  </si>
  <si>
    <t>CLOSED</t>
  </si>
  <si>
    <t>11exec</t>
  </si>
  <si>
    <t xml:space="preserve"> 11 Executive Park</t>
  </si>
  <si>
    <t>ableair</t>
  </si>
  <si>
    <t>001050 - Environmental Engineering Fee</t>
  </si>
  <si>
    <t>001050</t>
  </si>
  <si>
    <t>Environmental Engineering Fee</t>
  </si>
  <si>
    <t>CANCELLED</t>
  </si>
  <si>
    <t>12_exec</t>
  </si>
  <si>
    <t xml:space="preserve"> 12 Executive Drive</t>
  </si>
  <si>
    <t>aic</t>
  </si>
  <si>
    <t>Acadia Insurance Company</t>
  </si>
  <si>
    <t>001060 - Traffic Engineering Fee</t>
  </si>
  <si>
    <t>001060</t>
  </si>
  <si>
    <t>Traffic Engineering Fee</t>
  </si>
  <si>
    <t>Subcontract CO #2</t>
  </si>
  <si>
    <t>121tech</t>
  </si>
  <si>
    <t xml:space="preserve"> 121 Technology Drive</t>
  </si>
  <si>
    <t>accurateair</t>
  </si>
  <si>
    <t>Accurate Air</t>
  </si>
  <si>
    <t>001070 - Geotech Engineering Fee</t>
  </si>
  <si>
    <t>001070</t>
  </si>
  <si>
    <t>Geotech Engineering Fee</t>
  </si>
  <si>
    <t>Subcontract CO #3</t>
  </si>
  <si>
    <t>12inno</t>
  </si>
  <si>
    <t xml:space="preserve"> 12 Innovation</t>
  </si>
  <si>
    <t>acmgroup</t>
  </si>
  <si>
    <t>ACM Group, Inc.</t>
  </si>
  <si>
    <t>001080 - Structural Engineering Fee</t>
  </si>
  <si>
    <t>001080</t>
  </si>
  <si>
    <t>Structural Engineering Fee</t>
  </si>
  <si>
    <t>Subcontract CO #4</t>
  </si>
  <si>
    <t>12kent</t>
  </si>
  <si>
    <t xml:space="preserve"> 12 Kent Way</t>
  </si>
  <si>
    <t>agj</t>
  </si>
  <si>
    <t>AGJ Construction Inc.</t>
  </si>
  <si>
    <t>001090 - Legal</t>
  </si>
  <si>
    <t>001090</t>
  </si>
  <si>
    <t>Legal</t>
  </si>
  <si>
    <t>Subcontract CO #5</t>
  </si>
  <si>
    <t>13hampsh</t>
  </si>
  <si>
    <t xml:space="preserve"> 13 Hampshire Drive</t>
  </si>
  <si>
    <t>airdesign</t>
  </si>
  <si>
    <t>Air Design Services, Inc.</t>
  </si>
  <si>
    <t>001099</t>
  </si>
  <si>
    <t>Soft Costs - Other</t>
  </si>
  <si>
    <t>Subcontract CO #6</t>
  </si>
  <si>
    <t>14celina</t>
  </si>
  <si>
    <t xml:space="preserve"> 14 Celina Avenue</t>
  </si>
  <si>
    <t>amai</t>
  </si>
  <si>
    <t>Allen &amp; Major Associates, Inc.</t>
  </si>
  <si>
    <t>001100</t>
  </si>
  <si>
    <t>Building Permits and Fees</t>
  </si>
  <si>
    <t>Subcontract CO #7</t>
  </si>
  <si>
    <t>153range</t>
  </si>
  <si>
    <t xml:space="preserve"> 153 Rangeway Road</t>
  </si>
  <si>
    <t>alscustom</t>
  </si>
  <si>
    <t>Al's Custom Tile</t>
  </si>
  <si>
    <t>001900</t>
  </si>
  <si>
    <t>Development Fee</t>
  </si>
  <si>
    <t>Subcontract CO #8</t>
  </si>
  <si>
    <t>15cont</t>
  </si>
  <si>
    <t xml:space="preserve"> 15 Continental Boulevard</t>
  </si>
  <si>
    <t>baysideengin</t>
  </si>
  <si>
    <t>Bayside Engineering, Inc.</t>
  </si>
  <si>
    <t>001910 - Mgmt &amp; Supervision</t>
  </si>
  <si>
    <t>001910</t>
  </si>
  <si>
    <t>Mgmt &amp; Supervision</t>
  </si>
  <si>
    <t>Subcontract CO #9</t>
  </si>
  <si>
    <t>15guest</t>
  </si>
  <si>
    <t xml:space="preserve"> 15 Guest Street</t>
  </si>
  <si>
    <t>boodryelect</t>
  </si>
  <si>
    <t>Boodry Electric LLC</t>
  </si>
  <si>
    <t>001980</t>
  </si>
  <si>
    <t>Owner Const Cost Contingency</t>
  </si>
  <si>
    <t>Subcontract CO #10</t>
  </si>
  <si>
    <t>16celina</t>
  </si>
  <si>
    <t xml:space="preserve"> 16 Celina Avenue</t>
  </si>
  <si>
    <t>bbw</t>
  </si>
  <si>
    <t>Boston Building Wraps, INC</t>
  </si>
  <si>
    <t>001998 - Builders Risk</t>
  </si>
  <si>
    <t>001998</t>
  </si>
  <si>
    <t>Builders Risk</t>
  </si>
  <si>
    <t>16delta</t>
  </si>
  <si>
    <t xml:space="preserve"> 16 Delta Drive</t>
  </si>
  <si>
    <t>boucher</t>
  </si>
  <si>
    <t>007200</t>
  </si>
  <si>
    <t>GC Fee</t>
  </si>
  <si>
    <t>17_22del</t>
  </si>
  <si>
    <t xml:space="preserve"> 17 &amp; 22 Delta</t>
  </si>
  <si>
    <t>burlingtonlu</t>
  </si>
  <si>
    <t>Burlington Lumber Co.</t>
  </si>
  <si>
    <t>007316</t>
  </si>
  <si>
    <t>GC Insurance</t>
  </si>
  <si>
    <t>17hampsh</t>
  </si>
  <si>
    <t xml:space="preserve"> 17 Hampshire Avenue</t>
  </si>
  <si>
    <t>campbell</t>
  </si>
  <si>
    <t>Campbell Co Electric LLC</t>
  </si>
  <si>
    <t>007400</t>
  </si>
  <si>
    <t>Construction Management Fee</t>
  </si>
  <si>
    <t>18celina</t>
  </si>
  <si>
    <t xml:space="preserve"> 18 Celina Ave</t>
  </si>
  <si>
    <t>carlyle</t>
  </si>
  <si>
    <t>Carlyle Investment Management LLC</t>
  </si>
  <si>
    <t>008010</t>
  </si>
  <si>
    <t>Labor - Project Manager</t>
  </si>
  <si>
    <t>18cont</t>
  </si>
  <si>
    <t xml:space="preserve"> 18 Continental Boulevard</t>
  </si>
  <si>
    <t>casella</t>
  </si>
  <si>
    <t>Casella Waste Systems, Inc.</t>
  </si>
  <si>
    <t>008020</t>
  </si>
  <si>
    <t>Labor - Super</t>
  </si>
  <si>
    <t>20blanch</t>
  </si>
  <si>
    <t xml:space="preserve"> 20 Blanchard Road</t>
  </si>
  <si>
    <t>bostonfire</t>
  </si>
  <si>
    <t>City of Boston</t>
  </si>
  <si>
    <t>008030</t>
  </si>
  <si>
    <t>Labor - Foreman</t>
  </si>
  <si>
    <t>20cont</t>
  </si>
  <si>
    <t xml:space="preserve"> 20 Continental Boulevard</t>
  </si>
  <si>
    <t>methuen.plan</t>
  </si>
  <si>
    <t>City of Methuen</t>
  </si>
  <si>
    <t>008040 - Labor - Carpenter</t>
  </si>
  <si>
    <t>008040</t>
  </si>
  <si>
    <t>Labor - Carpenter</t>
  </si>
  <si>
    <t>24flagst</t>
  </si>
  <si>
    <t xml:space="preserve"> 24 Flagstone Drive</t>
  </si>
  <si>
    <t>codered</t>
  </si>
  <si>
    <t>Code Red Consultants, LLC</t>
  </si>
  <si>
    <t>008050</t>
  </si>
  <si>
    <t>Labor - General Labor</t>
  </si>
  <si>
    <t>290shrew</t>
  </si>
  <si>
    <t xml:space="preserve"> 290 Shrewsbury Street</t>
  </si>
  <si>
    <t>cohasset</t>
  </si>
  <si>
    <t>Cohasset Investment and Development LLC</t>
  </si>
  <si>
    <t>010010</t>
  </si>
  <si>
    <t>General Requirements - Total</t>
  </si>
  <si>
    <t>326_bal</t>
  </si>
  <si>
    <t xml:space="preserve"> 326 Ballardvale LLC</t>
  </si>
  <si>
    <t>cds</t>
  </si>
  <si>
    <t>Commercial Drapery Systems</t>
  </si>
  <si>
    <t>012116</t>
  </si>
  <si>
    <t>GC Cost Contingency</t>
  </si>
  <si>
    <t>33cherry</t>
  </si>
  <si>
    <t xml:space="preserve"> 33 Cherry Hill Drive</t>
  </si>
  <si>
    <t>cfsi-jason</t>
  </si>
  <si>
    <t>012119 - Testing and Inspection Allow</t>
  </si>
  <si>
    <t>012119</t>
  </si>
  <si>
    <t>Testing and Inspection Allow</t>
  </si>
  <si>
    <t>350gay</t>
  </si>
  <si>
    <t xml:space="preserve"> 350 Gay Street</t>
  </si>
  <si>
    <t>construx</t>
  </si>
  <si>
    <t>Construx Inc.</t>
  </si>
  <si>
    <t>012143 - Weather &amp; Winter Conditions</t>
  </si>
  <si>
    <t>012143</t>
  </si>
  <si>
    <t>Weather &amp; Winter Conditions</t>
  </si>
  <si>
    <t>360_npd</t>
  </si>
  <si>
    <t xml:space="preserve"> 360 Narragansett Park Drive</t>
  </si>
  <si>
    <t>core.env</t>
  </si>
  <si>
    <t>Core Environmental Services, Inc.</t>
  </si>
  <si>
    <t>012663 - Change Orders</t>
  </si>
  <si>
    <t>012663</t>
  </si>
  <si>
    <t>368pepsi</t>
  </si>
  <si>
    <t xml:space="preserve"> 368 Pepsi Road</t>
  </si>
  <si>
    <t>cw</t>
  </si>
  <si>
    <t>Cushman &amp; Wakefield</t>
  </si>
  <si>
    <t>013590 - GC Mgmt &amp; Supervision</t>
  </si>
  <si>
    <t>013590</t>
  </si>
  <si>
    <t>GC Mgmt &amp; Supervision</t>
  </si>
  <si>
    <t>405_coch</t>
  </si>
  <si>
    <t xml:space="preserve"> 405 Cochituate Road LLC</t>
  </si>
  <si>
    <t>dacon</t>
  </si>
  <si>
    <t>Dacon Corporation</t>
  </si>
  <si>
    <t>014126 - Permit Requirements</t>
  </si>
  <si>
    <t>014126</t>
  </si>
  <si>
    <t>Permit Requirements</t>
  </si>
  <si>
    <t>reliantjanit</t>
  </si>
  <si>
    <t>DCS Service Inc. dba Reliant Janitorial Service, LLC</t>
  </si>
  <si>
    <t>017423 - Cleaning</t>
  </si>
  <si>
    <t>017423</t>
  </si>
  <si>
    <t>Cleaning</t>
  </si>
  <si>
    <t>40warren</t>
  </si>
  <si>
    <t xml:space="preserve"> 40 Warren Owner LLC</t>
  </si>
  <si>
    <t>digitalanalo</t>
  </si>
  <si>
    <t>Digital Analog Control Systems</t>
  </si>
  <si>
    <t>022100 - Surveys</t>
  </si>
  <si>
    <t>022100</t>
  </si>
  <si>
    <t>Surveys</t>
  </si>
  <si>
    <t>44indus</t>
  </si>
  <si>
    <t xml:space="preserve"> 44 Industrial</t>
  </si>
  <si>
    <t>dsinorth</t>
  </si>
  <si>
    <t>DSI North Door Systems, Inc.</t>
  </si>
  <si>
    <t>024000</t>
  </si>
  <si>
    <t>Demo - Total</t>
  </si>
  <si>
    <t>44mallrd</t>
  </si>
  <si>
    <t xml:space="preserve"> 44 Mall Road</t>
  </si>
  <si>
    <t>elhs</t>
  </si>
  <si>
    <t>E.L. Harvey &amp; Sons, Inc.</t>
  </si>
  <si>
    <t>025000 - Site Remediation</t>
  </si>
  <si>
    <t>025000</t>
  </si>
  <si>
    <t>Site Remediation</t>
  </si>
  <si>
    <t>486amher</t>
  </si>
  <si>
    <t xml:space="preserve"> 486 Amherst Street</t>
  </si>
  <si>
    <t>eastcoastmet</t>
  </si>
  <si>
    <t>East Coast MetalWorks Inc</t>
  </si>
  <si>
    <t>028010 - Facility Remediation - Total</t>
  </si>
  <si>
    <t>028010</t>
  </si>
  <si>
    <t>Facility Remediation - Total</t>
  </si>
  <si>
    <t>4townsen</t>
  </si>
  <si>
    <t xml:space="preserve"> 4 Townsend West</t>
  </si>
  <si>
    <t>eastcoast</t>
  </si>
  <si>
    <t>East Coast Wrecking Incorporated</t>
  </si>
  <si>
    <t>028200 - Asbestos Remediation</t>
  </si>
  <si>
    <t>028200</t>
  </si>
  <si>
    <t>Asbestos Remediation</t>
  </si>
  <si>
    <t>501_grif</t>
  </si>
  <si>
    <t xml:space="preserve"> 501 Griffin Brook Drive</t>
  </si>
  <si>
    <t>eaton</t>
  </si>
  <si>
    <t>Eaton Horticultural Landscape</t>
  </si>
  <si>
    <t>028500 - Mold Remediation</t>
  </si>
  <si>
    <t>028500</t>
  </si>
  <si>
    <t>Mold Remediation</t>
  </si>
  <si>
    <t>50mallrd</t>
  </si>
  <si>
    <t xml:space="preserve"> 50 Mall Road</t>
  </si>
  <si>
    <t>miikaebbrell</t>
  </si>
  <si>
    <t>Ebbrell Architecture &amp; Design</t>
  </si>
  <si>
    <t>030010 - Concrete - Total</t>
  </si>
  <si>
    <t>030010</t>
  </si>
  <si>
    <t>Concrete - Total</t>
  </si>
  <si>
    <t>542amher</t>
  </si>
  <si>
    <t xml:space="preserve"> 542 Amherst Street</t>
  </si>
  <si>
    <t>ebi</t>
  </si>
  <si>
    <t>EBI Consulting</t>
  </si>
  <si>
    <t>040010 - Masonry - Total</t>
  </si>
  <si>
    <t>040010</t>
  </si>
  <si>
    <t>Masonry - Total</t>
  </si>
  <si>
    <t>54mallrd</t>
  </si>
  <si>
    <t xml:space="preserve"> 54 Mall Road</t>
  </si>
  <si>
    <t>esei</t>
  </si>
  <si>
    <t>Electrical Systems Engineering, Inc.</t>
  </si>
  <si>
    <t>050010 - Metals - Total</t>
  </si>
  <si>
    <t>050010</t>
  </si>
  <si>
    <t>Metals - Total</t>
  </si>
  <si>
    <t>55cambr</t>
  </si>
  <si>
    <t xml:space="preserve"> 55 Cambridge Street</t>
  </si>
  <si>
    <t>edei</t>
  </si>
  <si>
    <t>Environmental Design Engineering Inc.</t>
  </si>
  <si>
    <t>052000 - Structural Steel</t>
  </si>
  <si>
    <t>052000</t>
  </si>
  <si>
    <t>Structural Steel</t>
  </si>
  <si>
    <t>55north</t>
  </si>
  <si>
    <t xml:space="preserve"> 55 Northeastern Blvd</t>
  </si>
  <si>
    <t>fsp</t>
  </si>
  <si>
    <t>Farfaras &amp; Son Plumbing &amp; Heating Co, In</t>
  </si>
  <si>
    <t>055100 - Stairs</t>
  </si>
  <si>
    <t>055100</t>
  </si>
  <si>
    <t>Stairs</t>
  </si>
  <si>
    <t>5flagst</t>
  </si>
  <si>
    <t xml:space="preserve"> 5 Flagstone Drive</t>
  </si>
  <si>
    <t>msc</t>
  </si>
  <si>
    <t>FBM - Farmingdale</t>
  </si>
  <si>
    <t>060010 - Carpentry - Total</t>
  </si>
  <si>
    <t>060010</t>
  </si>
  <si>
    <t>Carpentry - Total</t>
  </si>
  <si>
    <t>600gbd</t>
  </si>
  <si>
    <t xml:space="preserve"> 600 Griffin Brook Drive</t>
  </si>
  <si>
    <t>harryfeldman</t>
  </si>
  <si>
    <t>Feldman Geospatial</t>
  </si>
  <si>
    <t>061000 - Rough Carpentry</t>
  </si>
  <si>
    <t>061000</t>
  </si>
  <si>
    <t>Rough Carpentry</t>
  </si>
  <si>
    <t>60mallrd</t>
  </si>
  <si>
    <t xml:space="preserve"> 60 Mall Road</t>
  </si>
  <si>
    <t>fgd</t>
  </si>
  <si>
    <t>Fimbel Paunet Corp. dba Fimbel Garage Doors</t>
  </si>
  <si>
    <t>070010 - Thermal and Moisture Protection</t>
  </si>
  <si>
    <t>070010</t>
  </si>
  <si>
    <t>Thermal and Moisture Protection - LUMP SUM</t>
  </si>
  <si>
    <t>72cherry</t>
  </si>
  <si>
    <t xml:space="preserve"> 72 Cherry Hill Drive</t>
  </si>
  <si>
    <t>megafood</t>
  </si>
  <si>
    <t>FoodState, Inc dba MegaFood</t>
  </si>
  <si>
    <t>071000 - Dampproofing and waterproofing</t>
  </si>
  <si>
    <t>071000</t>
  </si>
  <si>
    <t>Dampproofing and waterproofing</t>
  </si>
  <si>
    <t>77sbnew</t>
  </si>
  <si>
    <t xml:space="preserve"> 77 South Bedford</t>
  </si>
  <si>
    <t>goveenvironm</t>
  </si>
  <si>
    <t>Gove Environmental Services, Inc</t>
  </si>
  <si>
    <t>072500 - Exterior Finishes</t>
  </si>
  <si>
    <t>072500</t>
  </si>
  <si>
    <t>Exterior Finishes</t>
  </si>
  <si>
    <t>805mid</t>
  </si>
  <si>
    <t xml:space="preserve"> 805 Middlesex Tpke</t>
  </si>
  <si>
    <t>giw</t>
  </si>
  <si>
    <t>Grainger</t>
  </si>
  <si>
    <t>074000 - Roofing and Siding Panels</t>
  </si>
  <si>
    <t>074000</t>
  </si>
  <si>
    <t>Roofing and Siding Panels</t>
  </si>
  <si>
    <t>85nwblvd</t>
  </si>
  <si>
    <t xml:space="preserve"> 85 Northwest Boulevard</t>
  </si>
  <si>
    <t>gpi</t>
  </si>
  <si>
    <t>Greenman-Pedersen, Inc.</t>
  </si>
  <si>
    <t>075000 - Roofing - Total</t>
  </si>
  <si>
    <t>075000</t>
  </si>
  <si>
    <t>Roofing - Total</t>
  </si>
  <si>
    <t>8tech</t>
  </si>
  <si>
    <t xml:space="preserve"> 8 Tech LLC</t>
  </si>
  <si>
    <t>gsd</t>
  </si>
  <si>
    <t>080010 - Openings - Total</t>
  </si>
  <si>
    <t>080010</t>
  </si>
  <si>
    <t>Openings - Total</t>
  </si>
  <si>
    <t>99sbed</t>
  </si>
  <si>
    <t xml:space="preserve"> 99 South Bedford Street</t>
  </si>
  <si>
    <t>halcon</t>
  </si>
  <si>
    <t>Halcon Carpentry Inc</t>
  </si>
  <si>
    <t>081000</t>
  </si>
  <si>
    <t>Doors, Frames, &amp; Hardware</t>
  </si>
  <si>
    <t>9hampsh</t>
  </si>
  <si>
    <t xml:space="preserve"> 9 Hampshire Dr</t>
  </si>
  <si>
    <t>hannon</t>
  </si>
  <si>
    <t>Hannon Electric, Inc.</t>
  </si>
  <si>
    <t>083323 - Overhead Ceiling Doors</t>
  </si>
  <si>
    <t>083323</t>
  </si>
  <si>
    <t>Overhead Ceiling Doors</t>
  </si>
  <si>
    <t>aviation</t>
  </si>
  <si>
    <t xml:space="preserve"> Aviation Way Owner(Yogibo</t>
  </si>
  <si>
    <t>haynerswanso</t>
  </si>
  <si>
    <t>Hayner/Swanson, Inc.</t>
  </si>
  <si>
    <t>084300</t>
  </si>
  <si>
    <t>Storefronts</t>
  </si>
  <si>
    <t>charlest</t>
  </si>
  <si>
    <t xml:space="preserve"> SUS of Charlestown</t>
  </si>
  <si>
    <t>hightech</t>
  </si>
  <si>
    <t>High-Tech Electrical Contractors, Inc.</t>
  </si>
  <si>
    <t>084400</t>
  </si>
  <si>
    <t>Blinds</t>
  </si>
  <si>
    <t>loomis</t>
  </si>
  <si>
    <t xml:space="preserve"> 5 Aviation Investors LLC</t>
  </si>
  <si>
    <t>hub.building</t>
  </si>
  <si>
    <t>Hub Building &amp; Maintenance Inc.</t>
  </si>
  <si>
    <t>085000 - Windows</t>
  </si>
  <si>
    <t>085000</t>
  </si>
  <si>
    <t>Windows</t>
  </si>
  <si>
    <t>mallr10</t>
  </si>
  <si>
    <t xml:space="preserve"> 10 Mall Road </t>
  </si>
  <si>
    <t>jmservice</t>
  </si>
  <si>
    <t>J M Service Co LLC</t>
  </si>
  <si>
    <t>088100 - Glass Glazing</t>
  </si>
  <si>
    <t>088100</t>
  </si>
  <si>
    <t>Glass Glazing</t>
  </si>
  <si>
    <t>mallr20</t>
  </si>
  <si>
    <t xml:space="preserve"> 20 Mall Road </t>
  </si>
  <si>
    <t>jbnb</t>
  </si>
  <si>
    <t>JBNB Construction LLC</t>
  </si>
  <si>
    <t>092000</t>
  </si>
  <si>
    <t>Framing and Drywall</t>
  </si>
  <si>
    <t>plymouth</t>
  </si>
  <si>
    <t xml:space="preserve"> Natalie Way Owner LLC</t>
  </si>
  <si>
    <t>jensenhughes</t>
  </si>
  <si>
    <t>Jensen Hughes, Inc.</t>
  </si>
  <si>
    <t>093000 - Tiling</t>
  </si>
  <si>
    <t>093000</t>
  </si>
  <si>
    <t>Tiling</t>
  </si>
  <si>
    <t>quarrysq</t>
  </si>
  <si>
    <t xml:space="preserve"> Quarry Square</t>
  </si>
  <si>
    <t>jod</t>
  </si>
  <si>
    <t>Jodi General Contractor</t>
  </si>
  <si>
    <t>095000</t>
  </si>
  <si>
    <t>Ceilings</t>
  </si>
  <si>
    <t>rjkcoinc</t>
  </si>
  <si>
    <t xml:space="preserve"> RJK Company, Inc.</t>
  </si>
  <si>
    <t>kaloutas</t>
  </si>
  <si>
    <t>Kaloutas &amp; Company Inc.</t>
  </si>
  <si>
    <t>095100 - Acoustical Ceilings</t>
  </si>
  <si>
    <t>095100</t>
  </si>
  <si>
    <t>Acoustical Ceilings</t>
  </si>
  <si>
    <t>101stat</t>
  </si>
  <si>
    <t>101 Station Landing</t>
  </si>
  <si>
    <t>kam</t>
  </si>
  <si>
    <t>Kamco Supply Corp. of Boston</t>
  </si>
  <si>
    <t>096000</t>
  </si>
  <si>
    <t>Flooring</t>
  </si>
  <si>
    <t>kannanpricon</t>
  </si>
  <si>
    <t>Kannan &amp; Pricone Plumbing &amp; Heating Inc</t>
  </si>
  <si>
    <t>096119 - Concrete Floor Staining</t>
  </si>
  <si>
    <t>096119</t>
  </si>
  <si>
    <t>Concrete Floor Staining</t>
  </si>
  <si>
    <t>kjm</t>
  </si>
  <si>
    <t>KJ Miller Mechanical</t>
  </si>
  <si>
    <t>096800 - Carpeting</t>
  </si>
  <si>
    <t>096800</t>
  </si>
  <si>
    <t>Carpeting</t>
  </si>
  <si>
    <t>lapery</t>
  </si>
  <si>
    <t>099000</t>
  </si>
  <si>
    <t>Painting and Coating</t>
  </si>
  <si>
    <t>lk</t>
  </si>
  <si>
    <t>Locks &amp; Keys, Inc</t>
  </si>
  <si>
    <t>100010 - Specialties - Total</t>
  </si>
  <si>
    <t>100010</t>
  </si>
  <si>
    <t>Specialties - Total</t>
  </si>
  <si>
    <t>lumens</t>
  </si>
  <si>
    <t>Lumens</t>
  </si>
  <si>
    <t>100151 - Parking Lot</t>
  </si>
  <si>
    <t>100151</t>
  </si>
  <si>
    <t>Parking Lot</t>
  </si>
  <si>
    <t>mci</t>
  </si>
  <si>
    <t>Mass Cabinets Inc.</t>
  </si>
  <si>
    <t>100191 - Building Exterior - Facade</t>
  </si>
  <si>
    <t>100191</t>
  </si>
  <si>
    <t>Building Exterior - Facade</t>
  </si>
  <si>
    <t>mcservices</t>
  </si>
  <si>
    <t>MC Services, LLC</t>
  </si>
  <si>
    <t>105000 - Storage Specialties</t>
  </si>
  <si>
    <t>105000</t>
  </si>
  <si>
    <t>Storage Specialties</t>
  </si>
  <si>
    <t>mccarthyson</t>
  </si>
  <si>
    <t>McCarthy &amp; Son Landscaping, Inc</t>
  </si>
  <si>
    <t>100561 - Millwork</t>
  </si>
  <si>
    <t>100561</t>
  </si>
  <si>
    <t>Millwork</t>
  </si>
  <si>
    <t>mcp</t>
  </si>
  <si>
    <t>McSweeney Painting Co.</t>
  </si>
  <si>
    <t>101400 - Signage</t>
  </si>
  <si>
    <t>101400</t>
  </si>
  <si>
    <t>Signage</t>
  </si>
  <si>
    <t>mdw</t>
  </si>
  <si>
    <t>MD Weaver Corporation</t>
  </si>
  <si>
    <t>102200 - Partitions</t>
  </si>
  <si>
    <t>102200</t>
  </si>
  <si>
    <t>Partitions</t>
  </si>
  <si>
    <t>metal</t>
  </si>
  <si>
    <t>Metalcraft Door Co., Inc.</t>
  </si>
  <si>
    <t>107313 - Awnings</t>
  </si>
  <si>
    <t>107313</t>
  </si>
  <si>
    <t>Awnings</t>
  </si>
  <si>
    <t>camire.micha</t>
  </si>
  <si>
    <t>110010 - Equipment - Total</t>
  </si>
  <si>
    <t>110010</t>
  </si>
  <si>
    <t>Equipment - Total</t>
  </si>
  <si>
    <t>nesp</t>
  </si>
  <si>
    <t>NewEngland SurfacePreparation</t>
  </si>
  <si>
    <t>111000 - Vehicle and Pedestrian Equip</t>
  </si>
  <si>
    <t>111000</t>
  </si>
  <si>
    <t>Vehicle and Pedestrian Equip</t>
  </si>
  <si>
    <t>ncc</t>
  </si>
  <si>
    <t>North Crescent Condominium c/o SBC2, LLC</t>
  </si>
  <si>
    <t>113001 - Utilities</t>
  </si>
  <si>
    <t>113001</t>
  </si>
  <si>
    <t>Utilities</t>
  </si>
  <si>
    <t>northeastgeo</t>
  </si>
  <si>
    <t>Northeast Geotechnical, Inc.</t>
  </si>
  <si>
    <t>113501 - Trash Removal</t>
  </si>
  <si>
    <t>113501</t>
  </si>
  <si>
    <t>Trash Removal</t>
  </si>
  <si>
    <t>onyx</t>
  </si>
  <si>
    <t>Onyx Creative, Inc.</t>
  </si>
  <si>
    <t>120010 - Furnishings and Equip - Total</t>
  </si>
  <si>
    <t>120010</t>
  </si>
  <si>
    <t>Furnishings and Equip - Total</t>
  </si>
  <si>
    <t>outdoor</t>
  </si>
  <si>
    <t>Outdoor Pride Landscaping, LLC</t>
  </si>
  <si>
    <t>122000 - Window Treatments</t>
  </si>
  <si>
    <t>122000</t>
  </si>
  <si>
    <t>Window Treatments</t>
  </si>
  <si>
    <t>paglia</t>
  </si>
  <si>
    <t>130000 - Special Construction</t>
  </si>
  <si>
    <t>130000</t>
  </si>
  <si>
    <t>Special Construction</t>
  </si>
  <si>
    <t>patskey</t>
  </si>
  <si>
    <t>Pats Key N Lock, Inc.</t>
  </si>
  <si>
    <t>140010</t>
  </si>
  <si>
    <t>Elevator</t>
  </si>
  <si>
    <t>pavements</t>
  </si>
  <si>
    <t>Pavements, Inc.</t>
  </si>
  <si>
    <t>210010</t>
  </si>
  <si>
    <t>Fire Suppression - Total</t>
  </si>
  <si>
    <t>prec.demo</t>
  </si>
  <si>
    <t>212000 - Fire-Extinguishing Systems</t>
  </si>
  <si>
    <t>212000</t>
  </si>
  <si>
    <t>Fire-Extinguishing Systems</t>
  </si>
  <si>
    <t>pfe</t>
  </si>
  <si>
    <t>Precision Fitness Equipment</t>
  </si>
  <si>
    <t>220010 - Plumbing - Total</t>
  </si>
  <si>
    <t>220010</t>
  </si>
  <si>
    <t>Plumbing - Total</t>
  </si>
  <si>
    <t>rmglass</t>
  </si>
  <si>
    <t>230010</t>
  </si>
  <si>
    <t>HVAC - Total</t>
  </si>
  <si>
    <t>rhp</t>
  </si>
  <si>
    <t>R.H. Partition Co.</t>
  </si>
  <si>
    <t>260010</t>
  </si>
  <si>
    <t>Electrical - Total</t>
  </si>
  <si>
    <t>R.J. Kelly Co., Inc.</t>
  </si>
  <si>
    <t>280010 - Fire Alarm</t>
  </si>
  <si>
    <t>280010</t>
  </si>
  <si>
    <t>Fire Alarm</t>
  </si>
  <si>
    <t>radner</t>
  </si>
  <si>
    <t>Radner Design Associates, Inc</t>
  </si>
  <si>
    <t>282000 - Electronic Access and Security</t>
  </si>
  <si>
    <t>282000</t>
  </si>
  <si>
    <t>Electronic Access and Security</t>
  </si>
  <si>
    <t>rizzo</t>
  </si>
  <si>
    <t>283000 - Electronic Detection and Alarm</t>
  </si>
  <si>
    <t>283000</t>
  </si>
  <si>
    <t>Electronic Detection and Alarm</t>
  </si>
  <si>
    <t>roofmainten</t>
  </si>
  <si>
    <t>Roof Maintenance &amp; Systems, Inc.</t>
  </si>
  <si>
    <t>310010 - Sitework - Total</t>
  </si>
  <si>
    <t>310010</t>
  </si>
  <si>
    <t>Sitework - Total</t>
  </si>
  <si>
    <t>rooflifters</t>
  </si>
  <si>
    <t>Rooflifters USA LLC</t>
  </si>
  <si>
    <t>321700 - Paving</t>
  </si>
  <si>
    <t>321700</t>
  </si>
  <si>
    <t>Paving</t>
  </si>
  <si>
    <t>safetyenviro</t>
  </si>
  <si>
    <t>Safety Environmental Consultants</t>
  </si>
  <si>
    <t>323100 - Fences and Gates</t>
  </si>
  <si>
    <t>323100</t>
  </si>
  <si>
    <t>Fences and Gates</t>
  </si>
  <si>
    <t>saulewing</t>
  </si>
  <si>
    <t>Saul Ewing LLP</t>
  </si>
  <si>
    <t>327000 - Wetlands</t>
  </si>
  <si>
    <t>327000</t>
  </si>
  <si>
    <t>Wetlands</t>
  </si>
  <si>
    <t>scotland</t>
  </si>
  <si>
    <t>Scotland Bridge Woodworking</t>
  </si>
  <si>
    <t>329000 - Landscaping</t>
  </si>
  <si>
    <t>329000</t>
  </si>
  <si>
    <t>Landscaping</t>
  </si>
  <si>
    <t>servmaster</t>
  </si>
  <si>
    <t>ServiceMaster Restore</t>
  </si>
  <si>
    <t>sgt</t>
  </si>
  <si>
    <t>Sonnys Glass Tinting LLC</t>
  </si>
  <si>
    <t>spark</t>
  </si>
  <si>
    <t>Spark Electrician Services LLC</t>
  </si>
  <si>
    <t>sec</t>
  </si>
  <si>
    <t>Stanley Elevator Co., Inc.</t>
  </si>
  <si>
    <t>steelblue</t>
  </si>
  <si>
    <t>Steelblue Building Components LLC</t>
  </si>
  <si>
    <t>stellos</t>
  </si>
  <si>
    <t>Stellos Electric Supply Inc.</t>
  </si>
  <si>
    <t>stalarm</t>
  </si>
  <si>
    <t>Steven D. Tanner</t>
  </si>
  <si>
    <t>ssi</t>
  </si>
  <si>
    <t>Structural Systems, Inc.</t>
  </si>
  <si>
    <t>sr</t>
  </si>
  <si>
    <t>Sunbelt Rentals</t>
  </si>
  <si>
    <t>sesci</t>
  </si>
  <si>
    <t>gran.place</t>
  </si>
  <si>
    <t>The Granite Place</t>
  </si>
  <si>
    <t>mcg</t>
  </si>
  <si>
    <t>The Morin-Cameron Group, Inc.</t>
  </si>
  <si>
    <t>throne</t>
  </si>
  <si>
    <t>The Throne Depot</t>
  </si>
  <si>
    <t>durham</t>
  </si>
  <si>
    <t>Town of Durham, NH</t>
  </si>
  <si>
    <t>wakefield</t>
  </si>
  <si>
    <t>Town of Wakefield</t>
  </si>
  <si>
    <t>tucksland</t>
  </si>
  <si>
    <t>Tucks Land Care Inc</t>
  </si>
  <si>
    <t>uts_ma</t>
  </si>
  <si>
    <t>U.T.S of Massachusetts, Inc.</t>
  </si>
  <si>
    <t>uline</t>
  </si>
  <si>
    <t>Uline</t>
  </si>
  <si>
    <t>usadem</t>
  </si>
  <si>
    <t>USA Demolition, Inc.</t>
  </si>
  <si>
    <t>vlavoie</t>
  </si>
  <si>
    <t>V. Lavoie Contracting, LLC</t>
  </si>
  <si>
    <t>verizon-rpc</t>
  </si>
  <si>
    <t>Verizon - RPC</t>
  </si>
  <si>
    <t>vpsa</t>
  </si>
  <si>
    <t>View Point Sign and Awning</t>
  </si>
  <si>
    <t>vmi</t>
  </si>
  <si>
    <t>VMI Cleaning Corp.</t>
  </si>
  <si>
    <t>gc</t>
  </si>
  <si>
    <t>W. J. Grosvenor &amp; Co.</t>
  </si>
  <si>
    <t>wayne</t>
  </si>
  <si>
    <t>Wayne's Drains</t>
  </si>
  <si>
    <t>whitecap</t>
  </si>
  <si>
    <t>White Cap, L.P.</t>
  </si>
  <si>
    <t>yates</t>
  </si>
  <si>
    <t>Yates Electric Service Inc.</t>
  </si>
  <si>
    <t>n/a - estimate only</t>
  </si>
  <si>
    <t>Timestamp</t>
  </si>
  <si>
    <t>Error #</t>
  </si>
  <si>
    <t>Procedure</t>
  </si>
  <si>
    <t>Object Context</t>
  </si>
  <si>
    <t>Line #</t>
  </si>
  <si>
    <t>Object variable or With block variable not set</t>
  </si>
  <si>
    <t>LogError</t>
  </si>
  <si>
    <t>Data validation on 'tblCommitments'</t>
  </si>
  <si>
    <t>Data validation on 'tblChangeOrders'</t>
  </si>
  <si>
    <t>Setting formulas in 'tblBudget'</t>
  </si>
  <si>
    <t>Grey shaded cells should not be edited to successfully import</t>
  </si>
  <si>
    <t>Job Detail Id</t>
  </si>
  <si>
    <t>Budget</t>
  </si>
  <si>
    <t>Revision</t>
  </si>
  <si>
    <t>Remarks</t>
  </si>
  <si>
    <t>4124</t>
  </si>
  <si>
    <t>4209</t>
  </si>
  <si>
    <t>4171</t>
  </si>
  <si>
    <t>4386</t>
  </si>
  <si>
    <t>4387</t>
  </si>
  <si>
    <t>4385</t>
  </si>
  <si>
    <t>4105</t>
  </si>
  <si>
    <t>4939</t>
  </si>
  <si>
    <t>4360</t>
  </si>
  <si>
    <t>4656</t>
  </si>
  <si>
    <t>4420</t>
  </si>
  <si>
    <t>4587</t>
  </si>
  <si>
    <t>4660</t>
  </si>
  <si>
    <t>4439</t>
  </si>
  <si>
    <t>4712</t>
  </si>
  <si>
    <t>4672</t>
  </si>
  <si>
    <t>4735</t>
  </si>
  <si>
    <t>4745</t>
  </si>
  <si>
    <t>4711</t>
  </si>
  <si>
    <t>4412</t>
  </si>
  <si>
    <t>4532</t>
  </si>
  <si>
    <t>4277</t>
  </si>
  <si>
    <t>4533</t>
  </si>
  <si>
    <t>4916</t>
  </si>
  <si>
    <t>ESTIMATE</t>
  </si>
  <si>
    <t>Date</t>
  </si>
  <si>
    <t>Estimate Prepared By</t>
  </si>
  <si>
    <t xml:space="preserve">     55 Cambridge Street - Suite 300</t>
  </si>
  <si>
    <t xml:space="preserve">     Burlington, MA  01803</t>
  </si>
  <si>
    <t xml:space="preserve">     (781)-272-2899</t>
  </si>
  <si>
    <t>Project:</t>
  </si>
  <si>
    <t xml:space="preserve">Lobby-Bldg Upgrade </t>
  </si>
  <si>
    <t>Location:</t>
  </si>
  <si>
    <t xml:space="preserve">60 Mall Rd </t>
  </si>
  <si>
    <t>Client:</t>
  </si>
  <si>
    <t>Client Contact:</t>
  </si>
  <si>
    <t>Description of Work:</t>
  </si>
  <si>
    <t>Total Cost</t>
  </si>
  <si>
    <t>* Price includes any Taxes, Materials, Labor, and Fees.
* Payment is due 50% upon Estimate execution, and the balance upon completion of the Estimated Work.    
* All work to be performed during normal business hours unless otherwise noted.
* Pricing is good for 30 days.</t>
  </si>
  <si>
    <t>All material is guaranteed to be as specified.  All work to be completed and supervised by the R.J. Kelly Co., Inc. in accordance with specifications submitted in this estimate.  Any alteration or deviation from above specifications involving additional extra costs will be executed only upon additional written change orders and will become an additional extra on the project.  Tenant will be responsible for the costs associated with any changes to original project.  In the event of any material or intent discretion between the Lease Agreement and any subsequently produced construction documents the Lease Agreement shall apply unless specifically outlined and noted as a "specific scope change" within an accepted change order between RJK Co and Tenant or authorized representative.</t>
  </si>
  <si>
    <t>Estimate Acceptance By:</t>
  </si>
  <si>
    <t>______________________________________________________________</t>
  </si>
  <si>
    <t>____________________</t>
  </si>
  <si>
    <t>Tenant Representative</t>
  </si>
  <si>
    <t>RJ Kelly Co., Inc.</t>
  </si>
  <si>
    <t>For:</t>
  </si>
  <si>
    <t>121 Tech Owner LLC</t>
  </si>
  <si>
    <t>App. No.</t>
  </si>
  <si>
    <t>55 Cambridge Street</t>
  </si>
  <si>
    <t>Date:</t>
  </si>
  <si>
    <t>Burlington, MA 01803</t>
  </si>
  <si>
    <t>Period Start:</t>
  </si>
  <si>
    <t>p: (781) 272-2899</t>
  </si>
  <si>
    <t xml:space="preserve">Brazonics GC </t>
  </si>
  <si>
    <t>Period End:</t>
  </si>
  <si>
    <t>Brazonics.GC</t>
  </si>
  <si>
    <t>Contractor's Application for Payment</t>
  </si>
  <si>
    <t>Work Summary</t>
  </si>
  <si>
    <t>Cost Code</t>
  </si>
  <si>
    <t>Scheduled Value</t>
  </si>
  <si>
    <t>Previous</t>
  </si>
  <si>
    <t>Current</t>
  </si>
  <si>
    <t>% Complete</t>
  </si>
  <si>
    <t>Balance to Complete</t>
  </si>
  <si>
    <t>5% Retainage</t>
  </si>
  <si>
    <t>Change Order Summary</t>
  </si>
  <si>
    <t>Additions</t>
  </si>
  <si>
    <t>Deductions</t>
  </si>
  <si>
    <t>Original Contract Sum</t>
  </si>
  <si>
    <t>Total Approved in Prior Months</t>
  </si>
  <si>
    <t>Net Change by Change Order</t>
  </si>
  <si>
    <t>General Requirements</t>
  </si>
  <si>
    <t>Total Completed Check to Inv Log</t>
  </si>
  <si>
    <t>Total Approved this Month</t>
  </si>
  <si>
    <t>Contract Sum to Date</t>
  </si>
  <si>
    <t>Demo</t>
  </si>
  <si>
    <t>TOTALS</t>
  </si>
  <si>
    <t>Total Completed and Stored</t>
  </si>
  <si>
    <t>Concrete</t>
  </si>
  <si>
    <t>Owner's Contingency Assignment</t>
  </si>
  <si>
    <t>Retainage to Date</t>
  </si>
  <si>
    <t>Misc. Metals &amp; Structural Steel</t>
  </si>
  <si>
    <t>Total Earned Less Retainage</t>
  </si>
  <si>
    <t>Millwork &amp; Solid Surfaces</t>
  </si>
  <si>
    <t>Total Changes to Contract Sum</t>
  </si>
  <si>
    <t>Previous Certificates for Payment</t>
  </si>
  <si>
    <t>Roofing</t>
  </si>
  <si>
    <t>Current Payment Due</t>
  </si>
  <si>
    <t>Balance to Finish, plus Retainage</t>
  </si>
  <si>
    <t>Overhead Doors</t>
  </si>
  <si>
    <t>Contractor's Sworn Statement and Affidavit</t>
  </si>
  <si>
    <t>Framing &amp; Drywall</t>
  </si>
  <si>
    <t>RJ Kelly Co. Inc affirms to the best of our knowledge and understanding that the Work included in this Application for Payment has been completed approximately to the level of progress indicated and to the detail outlined in the Contract Documents, that all amounts have been paid by RJ Kelly Co. Inc to its first-tier subcontrators as listed, and RJ Kelly Co. Inc is due the amount shown as Current Payment Due.</t>
  </si>
  <si>
    <t>Painting</t>
  </si>
  <si>
    <t>Amount Authorized for Payment by Owner</t>
  </si>
  <si>
    <t>Specialties - Bathrooms</t>
  </si>
  <si>
    <t>Equipment</t>
  </si>
  <si>
    <t>Fire Suppression</t>
  </si>
  <si>
    <t>Plumbing</t>
  </si>
  <si>
    <t xml:space="preserve">By: </t>
  </si>
  <si>
    <t>HVAC &amp; Controls</t>
  </si>
  <si>
    <t>Electrical &amp; Fire Alarm</t>
  </si>
  <si>
    <t>Sitework &amp; Fencing</t>
  </si>
  <si>
    <t>Doug Malone, VP of Construction, RJ Kelly Co., Inc.</t>
  </si>
  <si>
    <t>Owner or Owner's Authorized Representative</t>
  </si>
  <si>
    <t>Subtotal - Contractor Hard Costs</t>
  </si>
  <si>
    <t>LABOR</t>
  </si>
  <si>
    <t>GC Mgmt &amp; Labor</t>
  </si>
  <si>
    <t>GC Fee &amp; Overhead</t>
  </si>
  <si>
    <t>GC Contingency</t>
  </si>
  <si>
    <t>Architectual &amp; Engineering</t>
  </si>
  <si>
    <t>Building Permit</t>
  </si>
  <si>
    <t>`</t>
  </si>
  <si>
    <t>Subtotal - Contractor Soft Costs</t>
  </si>
  <si>
    <t>Total - Contract</t>
  </si>
  <si>
    <t>GC Overhead</t>
  </si>
  <si>
    <t>GC Fee Difference</t>
  </si>
  <si>
    <t>Remaining Budget</t>
  </si>
  <si>
    <t>GC Insurance Difference</t>
  </si>
  <si>
    <t>Confirm amount that has been disclosed?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</si>
</sst>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44" formatCode="_(&quot;$&quot;* #,##0.00_);_(&quot;$&quot;* \(#,##0.00\);_(&quot;$&quot;* &quot;-&quot;??_);_(@_)"/>
    <numFmt numFmtId="43" formatCode="_(* #,##0.00_);_(* \(#,##0.00\);_(* &quot;-&quot;??_);_(@_)"/>
    <numFmt numFmtId="164" formatCode="_(&quot;$&quot;* #,##0_);_(&quot;$&quot;* \(#,##0\);_(&quot;$&quot;* &quot;-&quot;??_);_(@_)"/>
    <numFmt numFmtId="165" formatCode="00\ 00\ 00"/>
    <numFmt numFmtId="166" formatCode="0.0%"/>
    <numFmt numFmtId="167" formatCode="&quot;$&quot;#,##0"/>
    <numFmt numFmtId="168" formatCode="0.0"/>
    <numFmt numFmtId="169" formatCode="_(&quot;$&quot;* #,##0.0000_);_(&quot;$&quot;* \(#,##0.0000\);_(&quot;$&quot;* &quot;-&quot;??_);_(@_)"/>
    <numFmt numFmtId="170" formatCode="&quot;$&quot;#,##0.00"/>
    <numFmt numFmtId="171" formatCode="0.0000%"/>
    <numFmt numFmtId="172" formatCode="#,##0&quot; sf&quot;"/>
    <numFmt numFmtId="173" formatCode="_([$$-409]* #,##0.00_);_([$$-409]* \(#,##0.00\);_([$$-409]* \&quot;\-\&quot;??_);_(@_)"/>
  </numFmts>
  <fonts count="77" x14ac:knownFonts="1">
    <font>
      <sz val="11"/>
      <color theme="1"/>
      <name val="Calibri"/>
      <scheme val="minor"/>
    </font>
    <font>
      <sz val="11"/>
      <color rgb="FF3F3F76"/>
      <name val="Calibri"/>
      <scheme val="minor"/>
    </font>
    <font>
      <sz val="10"/>
      <color theme="1"/>
      <name val="Arial"/>
    </font>
    <font>
      <b/>
      <sz val="11"/>
      <color theme="1"/>
      <name val="Calibri"/>
      <scheme val="minor"/>
    </font>
    <font>
      <sz val="11"/>
      <color theme="1"/>
      <name val="Poppins"/>
    </font>
    <font>
      <b/>
      <sz val="11"/>
      <color theme="1"/>
      <name val="Poppins"/>
    </font>
    <font>
      <b/>
      <sz val="11"/>
      <color theme="1"/>
      <name val="Calibri"/>
    </font>
    <font>
      <sz val="11"/>
      <color theme="1"/>
      <name val="Calibri"/>
    </font>
    <font>
      <sz val="13"/>
      <color theme="1"/>
      <name val="Poppins"/>
    </font>
    <font>
      <sz val="13"/>
      <color rgb="FF0000CC"/>
      <name val="Poppins"/>
    </font>
    <font>
      <b/>
      <sz val="13"/>
      <color theme="0"/>
      <name val="Poppins"/>
    </font>
    <font>
      <sz val="13"/>
      <color theme="0"/>
      <name val="Poppins"/>
    </font>
    <font>
      <b/>
      <u/>
      <sz val="18"/>
      <color rgb="FF00304D"/>
      <name val="Poppins Black"/>
    </font>
    <font>
      <b/>
      <sz val="16"/>
      <color rgb="FF00304D"/>
      <name val="Poppins"/>
    </font>
    <font>
      <b/>
      <sz val="16"/>
      <color rgb="FF00304D"/>
      <name val="Poppins Black"/>
    </font>
    <font>
      <u/>
      <sz val="18"/>
      <color rgb="FF00304D"/>
      <name val="Poppins Black"/>
    </font>
    <font>
      <sz val="14"/>
      <color rgb="FF00304D"/>
      <name val="Poppins"/>
    </font>
    <font>
      <sz val="12.5"/>
      <color theme="1"/>
      <name val="Poppins"/>
    </font>
    <font>
      <b/>
      <u/>
      <sz val="14"/>
      <color rgb="FF00304D"/>
      <name val="Poppins"/>
    </font>
    <font>
      <b/>
      <sz val="12.5"/>
      <color rgb="FF0000CC"/>
      <name val="Poppins"/>
    </font>
    <font>
      <sz val="11"/>
      <color rgb="FFEE0000"/>
      <name val="Poppins"/>
    </font>
    <font>
      <b/>
      <sz val="12"/>
      <name val="Arial"/>
    </font>
    <font>
      <sz val="12"/>
      <name val="Arial"/>
    </font>
    <font>
      <b/>
      <sz val="14"/>
      <name val="Arial"/>
    </font>
    <font>
      <b/>
      <sz val="10"/>
      <name val="Arial"/>
    </font>
    <font>
      <sz val="10"/>
      <color theme="1"/>
      <name val="Times New Roman"/>
    </font>
    <font>
      <b/>
      <sz val="12.5"/>
      <color theme="1"/>
      <name val="Poppins"/>
    </font>
    <font>
      <sz val="11"/>
      <color rgb="FF01304E"/>
      <name val="Arial Narrow"/>
    </font>
    <font>
      <sz val="11"/>
      <color rgb="FF00304D"/>
      <name val="Arial Narrow"/>
    </font>
    <font>
      <b/>
      <sz val="11"/>
      <color rgb="FF00304D"/>
      <name val="Arial Narrow"/>
    </font>
    <font>
      <sz val="11"/>
      <color theme="1"/>
      <name val="Arial Narrow"/>
    </font>
    <font>
      <sz val="11"/>
      <color theme="0"/>
      <name val="Arial Narrow"/>
    </font>
    <font>
      <sz val="10"/>
      <color rgb="FF00304D"/>
      <name val="Arial Narrow"/>
    </font>
    <font>
      <i/>
      <sz val="11"/>
      <color theme="0"/>
      <name val="Arial Narrow"/>
    </font>
    <font>
      <i/>
      <sz val="11"/>
      <color rgb="FF00304D"/>
      <name val="Arial Narrow"/>
    </font>
    <font>
      <sz val="8"/>
      <color rgb="FF00304D"/>
      <name val="Arial Narrow"/>
    </font>
    <font>
      <u/>
      <sz val="10"/>
      <color rgb="FF00304D"/>
      <name val="Arial Narrow"/>
    </font>
    <font>
      <u/>
      <sz val="10"/>
      <color rgb="FFFF0000"/>
      <name val="Arial Narrow"/>
    </font>
    <font>
      <sz val="10"/>
      <color rgb="FFFF0000"/>
      <name val="Arial Narrow"/>
    </font>
    <font>
      <b/>
      <sz val="11"/>
      <color theme="1"/>
      <name val="Arial Narrow"/>
    </font>
    <font>
      <b/>
      <sz val="11"/>
      <color rgb="FFEC563B"/>
      <name val="Poppins"/>
    </font>
    <font>
      <b/>
      <sz val="11"/>
      <color theme="0"/>
      <name val="Poppins"/>
    </font>
    <font>
      <sz val="11"/>
      <color theme="0"/>
      <name val="Poppins"/>
    </font>
    <font>
      <sz val="11"/>
      <name val="Calibri"/>
      <scheme val="minor"/>
    </font>
    <font>
      <sz val="13"/>
      <color rgb="FFFF0000"/>
      <name val="Poppins"/>
    </font>
    <font>
      <sz val="11"/>
      <color rgb="FFFF0000"/>
      <name val="Poppins"/>
    </font>
    <font>
      <b/>
      <sz val="13"/>
      <color rgb="FF0000CC"/>
      <name val="Poppins"/>
    </font>
    <font>
      <b/>
      <sz val="11"/>
      <color rgb="FF0000CC"/>
      <name val="Poppins"/>
    </font>
    <font>
      <sz val="13"/>
      <color theme="0"/>
      <name val="Poppins Black"/>
    </font>
    <font>
      <b/>
      <sz val="13"/>
      <color theme="0"/>
      <name val="Poppins Black"/>
    </font>
    <font>
      <i/>
      <sz val="11"/>
      <color theme="1"/>
      <name val="Calibri"/>
    </font>
    <font>
      <b/>
      <sz val="12"/>
      <color theme="1"/>
      <name val="Times New Roman"/>
    </font>
    <font>
      <b/>
      <sz val="14"/>
      <color theme="0" tint="-4.9989318521683403E-2"/>
      <name val="Arial Narrow"/>
    </font>
    <font>
      <b/>
      <sz val="12"/>
      <color rgb="FF00304D"/>
      <name val="Arial Narrow"/>
    </font>
    <font>
      <i/>
      <sz val="18"/>
      <color rgb="FF00304D"/>
      <name val="Arial Narrow"/>
    </font>
    <font>
      <i/>
      <sz val="18"/>
      <color theme="0"/>
      <name val="Arial Narrow"/>
    </font>
    <font>
      <b/>
      <sz val="12"/>
      <color theme="0"/>
      <name val="Poppins"/>
    </font>
    <font>
      <b/>
      <sz val="11"/>
      <name val="Poppins"/>
    </font>
    <font>
      <sz val="11"/>
      <name val="Poppins"/>
    </font>
    <font>
      <b/>
      <sz val="12"/>
      <color rgb="FFFFFFFF"/>
      <name val="Arial"/>
    </font>
    <font>
      <b/>
      <sz val="9"/>
      <name val="Arial"/>
    </font>
    <font>
      <b/>
      <sz val="8.25"/>
      <name val="Arial"/>
    </font>
    <font>
      <sz val="11"/>
      <name val="Calibri"/>
      <scheme val="minor"/>
    </font>
    <font>
      <i/>
      <sz val="7.5"/>
      <color rgb="FF595959"/>
      <name val="Arial"/>
    </font>
    <font>
      <b/>
      <sz val="11"/>
      <color rgb="FF000000"/>
      <name val="Poppins"/>
    </font>
    <font>
      <sz val="9.75"/>
      <color theme="1"/>
      <name val="Calibri"/>
    </font>
    <font>
      <sz val="9.75"/>
      <name val="Calibri"/>
    </font>
    <font>
      <b/>
      <sz val="11"/>
      <color theme="1"/>
      <name val="Poppins"/>
    </font>
    <font>
      <b/>
      <sz val="8.25"/>
      <color theme="1"/>
      <name val="Arial"/>
    </font>
    <font>
      <b/>
      <sz val="8.25"/>
      <name val="Arial"/>
    </font>
    <font>
      <sz val="9.75"/>
      <color theme="0"/>
      <name val="Calibri"/>
    </font>
    <font>
      <sz val="9.75"/>
      <color rgb="FF000000"/>
      <name val="Calibri"/>
    </font>
    <font>
      <sz val="11"/>
      <color rgb="FF000000"/>
      <name val="Poppins"/>
    </font>
    <font>
      <sz val="11"/>
      <color theme="1"/>
      <name val="Calibri"/>
      <scheme val="minor"/>
    </font>
    <font>
      <b/>
      <sz val="13"/>
      <color theme="1"/>
      <name val="Poppins"/>
    </font>
    <font>
      <b/>
      <u/>
      <sz val="13"/>
      <color theme="1"/>
      <name val="Poppins"/>
    </font>
    <font>
      <u/>
      <sz val="13"/>
      <color theme="1"/>
      <name val="Poppins"/>
    </font>
  </fonts>
  <fills count="19">
    <fill>
      <patternFill patternType="none"/>
    </fill>
    <fill>
      <patternFill patternType="gray125"/>
    </fill>
    <fill>
      <patternFill patternType="solid">
        <fgColor rgb="FFFFCC99"/>
      </patternFill>
    </fill>
    <fill>
      <patternFill patternType="solid">
        <fgColor rgb="FF9B9B9B"/>
      </patternFill>
    </fill>
    <fill>
      <patternFill patternType="solid">
        <fgColor rgb="FFD9D9D9"/>
      </patternFill>
    </fill>
    <fill>
      <patternFill patternType="solid">
        <fgColor rgb="FF58585A"/>
      </patternFill>
    </fill>
    <fill>
      <patternFill patternType="solid">
        <fgColor theme="5" tint="0.79998168889431442"/>
        <bgColor indexed="65"/>
      </patternFill>
    </fill>
    <fill>
      <patternFill patternType="solid">
        <fgColor rgb="FFFFFF00"/>
      </patternFill>
    </fill>
    <fill>
      <patternFill patternType="solid">
        <fgColor theme="8" tint="0.39997558519241921"/>
        <bgColor indexed="65"/>
      </patternFill>
    </fill>
    <fill>
      <patternFill patternType="solid">
        <fgColor theme="0"/>
      </patternFill>
    </fill>
    <fill>
      <patternFill patternType="solid">
        <fgColor theme="0" tint="-0.14999847407452621"/>
        <bgColor indexed="65"/>
      </patternFill>
    </fill>
    <fill>
      <patternFill patternType="solid">
        <fgColor rgb="FFCCE5FF"/>
      </patternFill>
    </fill>
    <fill>
      <patternFill patternType="solid">
        <fgColor theme="9" tint="0.59999389629810485"/>
        <bgColor indexed="65"/>
      </patternFill>
    </fill>
    <fill>
      <patternFill patternType="solid">
        <fgColor rgb="FFE6E6E6"/>
      </patternFill>
    </fill>
    <fill>
      <patternFill patternType="solid">
        <fgColor rgb="FF057ABF"/>
      </patternFill>
    </fill>
    <fill>
      <patternFill patternType="solid">
        <fgColor rgb="FF00304D"/>
      </patternFill>
    </fill>
    <fill>
      <patternFill patternType="solid">
        <fgColor rgb="FF0070C0"/>
      </patternFill>
    </fill>
    <fill>
      <patternFill patternType="solid">
        <fgColor rgb="FFE7E6E6"/>
      </patternFill>
    </fill>
    <fill>
      <patternFill patternType="solid">
        <fgColor rgb="FFD9D9D9"/>
      </patternFill>
    </fill>
  </fills>
  <borders count="74">
    <border>
      <left/>
      <right/>
      <top/>
      <bottom/>
      <diagonal/>
    </border>
    <border>
      <left/>
      <right/>
      <top/>
      <bottom/>
      <diagonal/>
    </border>
    <border>
      <left style="thin">
        <color rgb="FF7F7F7F"/>
      </left>
      <right style="thin">
        <color rgb="FF7F7F7F"/>
      </right>
      <top style="thin">
        <color rgb="FF7F7F7F"/>
      </top>
      <bottom style="thin">
        <color rgb="FF7F7F7F"/>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style="medium">
        <color rgb="FF000000"/>
      </right>
      <top style="medium">
        <color rgb="FF000000"/>
      </top>
      <bottom style="medium">
        <color rgb="FF000000"/>
      </bottom>
      <diagonal/>
    </border>
    <border>
      <left/>
      <right/>
      <top/>
      <bottom style="medium">
        <color rgb="FF000000"/>
      </bottom>
      <diagonal/>
    </border>
    <border>
      <left style="thin">
        <color rgb="FF01304E"/>
      </left>
      <right/>
      <top/>
      <bottom/>
      <diagonal/>
    </border>
    <border>
      <left/>
      <right/>
      <top style="thin">
        <color rgb="FF01304E"/>
      </top>
      <bottom style="thin">
        <color rgb="FF01304E"/>
      </bottom>
      <diagonal/>
    </border>
    <border>
      <left style="thin">
        <color rgb="FF01304E"/>
      </left>
      <right/>
      <top/>
      <bottom style="thin">
        <color rgb="FF01304E"/>
      </bottom>
      <diagonal/>
    </border>
    <border>
      <left style="thin">
        <color rgb="FF01304E"/>
      </left>
      <right style="thin">
        <color rgb="FF01304E"/>
      </right>
      <top style="thin">
        <color rgb="FF01304E"/>
      </top>
      <bottom style="thin">
        <color rgb="FF01304E"/>
      </bottom>
      <diagonal/>
    </border>
    <border>
      <left style="thin">
        <color rgb="FF01304E"/>
      </left>
      <right/>
      <top style="thin">
        <color rgb="FF01304E"/>
      </top>
      <bottom style="thin">
        <color rgb="FF01304E"/>
      </bottom>
      <diagonal/>
    </border>
    <border>
      <left/>
      <right/>
      <top style="thin">
        <color rgb="FF01304E"/>
      </top>
      <bottom style="thin">
        <color rgb="FF000000"/>
      </bottom>
      <diagonal/>
    </border>
    <border>
      <left style="thin">
        <color rgb="FF01304E"/>
      </left>
      <right style="thin">
        <color rgb="FF01304E"/>
      </right>
      <top style="thin">
        <color rgb="FF01304E"/>
      </top>
      <bottom style="thin">
        <color rgb="FF000000"/>
      </bottom>
      <diagonal/>
    </border>
    <border>
      <left style="thin">
        <color rgb="FF000000"/>
      </left>
      <right style="thin">
        <color rgb="FF000000"/>
      </right>
      <top style="medium">
        <color rgb="FF000000"/>
      </top>
      <bottom style="thin">
        <color rgb="FF000000"/>
      </bottom>
      <diagonal/>
    </border>
    <border>
      <left style="thin">
        <color rgb="FF01304E"/>
      </left>
      <right/>
      <top style="thin">
        <color rgb="FF01304E"/>
      </top>
      <bottom style="double">
        <color rgb="FF01304E"/>
      </bottom>
      <diagonal/>
    </border>
    <border>
      <left style="thin">
        <color rgb="FF01304E"/>
      </left>
      <right style="thin">
        <color rgb="FF01304E"/>
      </right>
      <top style="thin">
        <color rgb="FF01304E"/>
      </top>
      <bottom style="double">
        <color rgb="FF000000"/>
      </bottom>
      <diagonal/>
    </border>
    <border>
      <left/>
      <right/>
      <top style="double">
        <color rgb="FF01304E"/>
      </top>
      <bottom style="medium">
        <color rgb="FF000000"/>
      </bottom>
      <diagonal/>
    </border>
    <border>
      <left style="thin">
        <color rgb="FF01304E"/>
      </left>
      <right style="thin">
        <color rgb="FF01304E"/>
      </right>
      <top style="double">
        <color rgb="FF000000"/>
      </top>
      <bottom style="medium">
        <color rgb="FF000000"/>
      </bottom>
      <diagonal/>
    </border>
    <border>
      <left style="thin">
        <color rgb="FF01304E"/>
      </left>
      <right style="thin">
        <color rgb="FF01304E"/>
      </right>
      <top style="double">
        <color rgb="FF01304E"/>
      </top>
      <bottom style="medium">
        <color rgb="FF000000"/>
      </bottom>
      <diagonal/>
    </border>
    <border>
      <left style="thin">
        <color rgb="FF01304E"/>
      </left>
      <right style="thin">
        <color rgb="FF01304E"/>
      </right>
      <top/>
      <bottom style="thin">
        <color rgb="FF01304E"/>
      </bottom>
      <diagonal/>
    </border>
    <border>
      <left style="thin">
        <color rgb="FF01304E"/>
      </left>
      <right style="thin">
        <color rgb="FF01304E"/>
      </right>
      <top style="thin">
        <color rgb="FF000000"/>
      </top>
      <bottom style="thin">
        <color rgb="FF000000"/>
      </bottom>
      <diagonal/>
    </border>
    <border>
      <left style="thin">
        <color rgb="FF01304E"/>
      </left>
      <right style="thin">
        <color rgb="FF01304E"/>
      </right>
      <top style="thin">
        <color rgb="FF01304E"/>
      </top>
      <bottom style="double">
        <color rgb="FF01304E"/>
      </bottom>
      <diagonal/>
    </border>
    <border>
      <left style="thin">
        <color rgb="FF01304E"/>
      </left>
      <right style="thin">
        <color rgb="FF01304E"/>
      </right>
      <top/>
      <bottom style="medium">
        <color rgb="FF000000"/>
      </bottom>
      <diagonal/>
    </border>
    <border>
      <left/>
      <right/>
      <top style="medium">
        <color rgb="FF000000"/>
      </top>
      <bottom style="medium">
        <color rgb="FF000000"/>
      </bottom>
      <diagonal/>
    </border>
    <border>
      <left style="thin">
        <color rgb="FF01304E"/>
      </left>
      <right style="thin">
        <color rgb="FF01304E"/>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style="thin">
        <color rgb="FFD0D0D0"/>
      </top>
      <bottom style="thin">
        <color rgb="FFD0D0D0"/>
      </bottom>
      <diagonal/>
    </border>
    <border>
      <left style="thin">
        <color rgb="FF000000"/>
      </left>
      <right style="thin">
        <color rgb="FF000000"/>
      </right>
      <top/>
      <bottom style="thin">
        <color rgb="FF000000"/>
      </bottom>
      <diagonal/>
    </border>
    <border>
      <left/>
      <right style="thin">
        <color rgb="FF000000"/>
      </right>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304D"/>
      </left>
      <right/>
      <top style="double">
        <color theme="4"/>
      </top>
      <bottom style="medium">
        <color rgb="FF00304D"/>
      </bottom>
      <diagonal/>
    </border>
    <border>
      <left/>
      <right/>
      <top style="double">
        <color theme="4"/>
      </top>
      <bottom style="medium">
        <color rgb="FF00304D"/>
      </bottom>
      <diagonal/>
    </border>
    <border>
      <left/>
      <right style="thin">
        <color rgb="FF000000"/>
      </right>
      <top style="double">
        <color theme="4"/>
      </top>
      <bottom style="medium">
        <color rgb="FF00304D"/>
      </bottom>
      <diagonal/>
    </border>
    <border>
      <left style="thin">
        <color rgb="FF000000"/>
      </left>
      <right style="thin">
        <color rgb="FF000000"/>
      </right>
      <top style="double">
        <color theme="4"/>
      </top>
      <bottom style="medium">
        <color rgb="FF00304D"/>
      </bottom>
      <diagonal/>
    </border>
    <border>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style="medium">
        <color rgb="FF000000"/>
      </bottom>
      <diagonal/>
    </border>
    <border>
      <left/>
      <right/>
      <top style="medium">
        <color rgb="FF000000"/>
      </top>
      <bottom style="thin">
        <color rgb="FF000000"/>
      </bottom>
      <diagonal/>
    </border>
    <border>
      <left/>
      <right/>
      <top style="thin">
        <color rgb="FF000000"/>
      </top>
      <bottom style="thin">
        <color rgb="FF000000"/>
      </bottom>
      <diagonal/>
    </border>
    <border>
      <left style="thin">
        <color rgb="FF01304E"/>
      </left>
      <right style="thin">
        <color rgb="FF01304E"/>
      </right>
      <top/>
      <bottom/>
      <diagonal/>
    </border>
    <border>
      <left/>
      <right/>
      <top style="thin">
        <color rgb="FF01304E"/>
      </top>
      <bottom/>
      <diagonal/>
    </border>
    <border>
      <left/>
      <right/>
      <top/>
      <bottom style="thin">
        <color rgb="FF01304E"/>
      </bottom>
      <diagonal/>
    </border>
    <border>
      <left/>
      <right style="thin">
        <color rgb="FF01304E"/>
      </right>
      <top style="thin">
        <color rgb="FF01304E"/>
      </top>
      <bottom style="thin">
        <color rgb="FF01304E"/>
      </bottom>
      <diagonal/>
    </border>
    <border>
      <left style="thin">
        <color rgb="FF01304E"/>
      </left>
      <right/>
      <top style="thin">
        <color rgb="FF01304E"/>
      </top>
      <bottom/>
      <diagonal/>
    </border>
    <border>
      <left/>
      <right style="thin">
        <color rgb="FF01304E"/>
      </right>
      <top style="thin">
        <color rgb="FF01304E"/>
      </top>
      <bottom/>
      <diagonal/>
    </border>
    <border>
      <left/>
      <right style="thin">
        <color rgb="FF01304E"/>
      </right>
      <top/>
      <bottom style="thin">
        <color rgb="FF01304E"/>
      </bottom>
      <diagonal/>
    </border>
    <border>
      <left/>
      <right style="thin">
        <color rgb="FF01304E"/>
      </right>
      <top style="double">
        <color rgb="FF01304E"/>
      </top>
      <bottom style="medium">
        <color rgb="FF000000"/>
      </bottom>
      <diagonal/>
    </border>
    <border>
      <left/>
      <right/>
      <top style="double">
        <color rgb="FF000000"/>
      </top>
      <bottom style="medium">
        <color rgb="FF000000"/>
      </bottom>
      <diagonal/>
    </border>
    <border>
      <left/>
      <right style="thin">
        <color rgb="FF01304E"/>
      </right>
      <top style="double">
        <color rgb="FF000000"/>
      </top>
      <bottom style="medium">
        <color rgb="FF000000"/>
      </bottom>
      <diagonal/>
    </border>
    <border>
      <left/>
      <right style="thin">
        <color rgb="FF01304E"/>
      </right>
      <top style="medium">
        <color rgb="FF000000"/>
      </top>
      <bottom style="medium">
        <color rgb="FF000000"/>
      </bottom>
      <diagonal/>
    </border>
    <border>
      <left style="thin">
        <color theme="4"/>
      </left>
      <right/>
      <top style="thin">
        <color theme="4"/>
      </top>
      <bottom/>
      <diagonal/>
    </border>
    <border>
      <left style="thin">
        <color rgb="FF000000"/>
      </left>
      <right/>
      <top style="thin">
        <color theme="4"/>
      </top>
      <bottom/>
      <diagonal/>
    </border>
    <border>
      <left/>
      <right/>
      <top style="thin">
        <color theme="4"/>
      </top>
      <bottom/>
      <diagonal/>
    </border>
    <border>
      <left/>
      <right style="thin">
        <color theme="4"/>
      </right>
      <top style="thin">
        <color theme="4"/>
      </top>
      <bottom/>
      <diagonal/>
    </border>
    <border>
      <left style="thin">
        <color rgb="FF000000"/>
      </left>
      <right style="thin">
        <color theme="4"/>
      </right>
      <top style="thin">
        <color theme="4"/>
      </top>
      <bottom/>
      <diagonal/>
    </border>
    <border>
      <left style="thin">
        <color rgb="FF000000"/>
      </left>
      <right/>
      <top style="double">
        <color theme="4"/>
      </top>
      <bottom style="medium">
        <color rgb="FF00304D"/>
      </bottom>
      <diagonal/>
    </border>
    <border>
      <left style="thin">
        <color rgb="FF000000"/>
      </left>
      <right style="medium">
        <color rgb="FF00304D"/>
      </right>
      <top style="double">
        <color theme="4"/>
      </top>
      <bottom style="medium">
        <color rgb="FF00304D"/>
      </bottom>
      <diagonal/>
    </border>
    <border>
      <left/>
      <right/>
      <top style="thin">
        <color rgb="FF000000"/>
      </top>
      <bottom/>
      <diagonal/>
    </border>
    <border>
      <left/>
      <right style="thin">
        <color rgb="FF000000"/>
      </right>
      <top style="thin">
        <color theme="4"/>
      </top>
      <bottom/>
      <diagonal/>
    </border>
    <border>
      <left style="thin">
        <color theme="4"/>
      </left>
      <right style="thin">
        <color theme="4"/>
      </right>
      <top style="thin">
        <color theme="4"/>
      </top>
      <bottom/>
      <diagonal/>
    </border>
    <border>
      <left style="thin">
        <color theme="4"/>
      </left>
      <right style="thin">
        <color theme="4"/>
      </right>
      <top style="thin">
        <color theme="4"/>
      </top>
      <bottom style="thin">
        <color theme="4"/>
      </bottom>
      <diagonal/>
    </border>
  </borders>
  <cellStyleXfs count="7">
    <xf numFmtId="0" fontId="0" fillId="0" borderId="1"/>
    <xf numFmtId="43" fontId="73" fillId="0" borderId="1" applyFont="0" applyFill="0" applyBorder="0" applyAlignment="0" applyProtection="0"/>
    <xf numFmtId="44" fontId="73" fillId="0" borderId="1" applyFont="0" applyFill="0" applyBorder="0" applyAlignment="0" applyProtection="0"/>
    <xf numFmtId="0" fontId="1" fillId="2" borderId="2" applyNumberFormat="0" applyAlignment="0" applyProtection="0"/>
    <xf numFmtId="0" fontId="2" fillId="0" borderId="1"/>
    <xf numFmtId="9" fontId="73" fillId="0" borderId="1" applyFont="0" applyFill="0" applyBorder="0" applyAlignment="0" applyProtection="0"/>
    <xf numFmtId="0" fontId="73" fillId="0" borderId="1"/>
  </cellStyleXfs>
  <cellXfs count="333">
    <xf numFmtId="0" fontId="0" fillId="0" borderId="1" xfId="0"/>
    <xf numFmtId="0" fontId="60" fillId="0" borderId="0" xfId="6" applyFont="1" applyBorder="1" applyAlignment="1">
      <alignment vertical="top"/>
    </xf>
    <xf numFmtId="0" fontId="61" fillId="17" borderId="0" xfId="6" applyFont="1" applyFill="1" applyBorder="1" applyAlignment="1">
      <alignment vertical="top"/>
    </xf>
    <xf numFmtId="0" fontId="62" fillId="0" borderId="0" xfId="6" applyFont="1" applyBorder="1" applyAlignment="1">
      <alignment vertical="top"/>
    </xf>
    <xf numFmtId="0" fontId="61" fillId="18" borderId="0" xfId="6" applyFont="1" applyFill="1" applyBorder="1" applyAlignment="1">
      <alignment vertical="top"/>
    </xf>
    <xf numFmtId="0" fontId="61" fillId="0" borderId="0" xfId="6" applyFont="1" applyBorder="1" applyAlignment="1">
      <alignment vertical="top"/>
    </xf>
    <xf numFmtId="0" fontId="63" fillId="0" borderId="0" xfId="6" applyFont="1" applyBorder="1" applyAlignment="1">
      <alignment vertical="top"/>
    </xf>
    <xf numFmtId="4" fontId="12" fillId="0" borderId="1" xfId="6" applyNumberFormat="1" applyFont="1" applyAlignment="1">
      <alignment wrapText="1"/>
    </xf>
    <xf numFmtId="4" fontId="16" fillId="0" borderId="1" xfId="6" applyNumberFormat="1" applyFont="1" applyAlignment="1">
      <alignment vertical="top" wrapText="1"/>
    </xf>
    <xf numFmtId="4" fontId="17" fillId="0" borderId="1" xfId="6" applyNumberFormat="1" applyFont="1" applyAlignment="1">
      <alignment vertical="top" wrapText="1"/>
    </xf>
    <xf numFmtId="4" fontId="18" fillId="0" borderId="1" xfId="6" applyNumberFormat="1" applyFont="1" applyAlignment="1">
      <alignment vertical="top" wrapText="1"/>
    </xf>
    <xf numFmtId="4" fontId="19" fillId="0" borderId="1" xfId="6" applyNumberFormat="1" applyFont="1" applyAlignment="1">
      <alignment vertical="top" wrapText="1"/>
    </xf>
    <xf numFmtId="4" fontId="26" fillId="0" borderId="1" xfId="6" applyNumberFormat="1" applyFont="1" applyAlignment="1">
      <alignment vertical="top" wrapText="1"/>
    </xf>
    <xf numFmtId="4" fontId="17" fillId="9" borderId="1" xfId="6" applyNumberFormat="1" applyFont="1" applyFill="1" applyAlignment="1">
      <alignment vertical="top" wrapText="1"/>
    </xf>
    <xf numFmtId="4" fontId="20" fillId="0" borderId="1" xfId="6" applyNumberFormat="1" applyFont="1" applyAlignment="1">
      <alignment vertical="top"/>
    </xf>
    <xf numFmtId="4" fontId="17" fillId="7" borderId="1" xfId="6" applyNumberFormat="1" applyFont="1" applyFill="1" applyAlignment="1">
      <alignment vertical="top" wrapText="1"/>
    </xf>
    <xf numFmtId="0" fontId="43" fillId="0" borderId="1" xfId="6" applyFont="1" applyAlignment="1">
      <alignment vertical="top" wrapText="1"/>
    </xf>
    <xf numFmtId="0" fontId="43" fillId="0" borderId="37" xfId="6" applyFont="1" applyBorder="1" applyAlignment="1">
      <alignment vertical="top" wrapText="1"/>
    </xf>
    <xf numFmtId="4" fontId="4" fillId="0" borderId="1" xfId="6" applyNumberFormat="1" applyFont="1" applyAlignment="1">
      <alignment vertical="top" wrapText="1"/>
    </xf>
    <xf numFmtId="0" fontId="12" fillId="0" borderId="1" xfId="6" applyFont="1" applyAlignment="1">
      <alignment vertical="top"/>
    </xf>
    <xf numFmtId="0" fontId="4" fillId="0" borderId="3" xfId="6" applyFont="1" applyBorder="1"/>
    <xf numFmtId="0" fontId="10" fillId="5" borderId="4" xfId="6" applyFont="1" applyFill="1" applyBorder="1"/>
    <xf numFmtId="0" fontId="46" fillId="11" borderId="4" xfId="6" applyFont="1" applyFill="1" applyBorder="1" applyProtection="1">
      <protection locked="0"/>
    </xf>
    <xf numFmtId="0" fontId="8" fillId="0" borderId="1" xfId="6" applyFont="1"/>
    <xf numFmtId="172" fontId="46" fillId="11" borderId="4" xfId="1" applyNumberFormat="1" applyFont="1" applyFill="1" applyBorder="1" applyAlignment="1" applyProtection="1">
      <alignment horizontal="left"/>
      <protection locked="0"/>
    </xf>
    <xf numFmtId="0" fontId="10" fillId="5" borderId="5" xfId="6" applyFont="1" applyFill="1" applyBorder="1"/>
    <xf numFmtId="14" fontId="46" fillId="11" borderId="5" xfId="6" applyNumberFormat="1" applyFont="1" applyFill="1" applyBorder="1" applyAlignment="1" applyProtection="1">
      <alignment horizontal="left"/>
      <protection locked="0"/>
    </xf>
    <xf numFmtId="0" fontId="44" fillId="0" borderId="1" xfId="6" applyFont="1"/>
    <xf numFmtId="0" fontId="46" fillId="11" borderId="5" xfId="6" applyFont="1" applyFill="1" applyBorder="1" applyProtection="1">
      <protection locked="0"/>
    </xf>
    <xf numFmtId="0" fontId="9" fillId="0" borderId="1" xfId="6" applyFont="1"/>
    <xf numFmtId="0" fontId="10" fillId="5" borderId="6" xfId="6" applyFont="1" applyFill="1" applyBorder="1"/>
    <xf numFmtId="0" fontId="11" fillId="5" borderId="7" xfId="6" applyFont="1" applyFill="1" applyBorder="1"/>
    <xf numFmtId="0" fontId="11" fillId="5" borderId="8" xfId="6" applyFont="1" applyFill="1" applyBorder="1"/>
    <xf numFmtId="0" fontId="5" fillId="0" borderId="1" xfId="6" applyFont="1"/>
    <xf numFmtId="9" fontId="46" fillId="11" borderId="5" xfId="5" applyFont="1" applyFill="1" applyBorder="1" applyProtection="1">
      <protection locked="0"/>
    </xf>
    <xf numFmtId="9" fontId="46" fillId="11" borderId="4" xfId="5" applyFont="1" applyFill="1" applyBorder="1" applyProtection="1">
      <protection locked="0"/>
    </xf>
    <xf numFmtId="9" fontId="46" fillId="11" borderId="40" xfId="5" applyFont="1" applyFill="1" applyBorder="1" applyProtection="1">
      <protection locked="0"/>
    </xf>
    <xf numFmtId="0" fontId="46" fillId="11" borderId="41" xfId="6" applyFont="1" applyFill="1" applyBorder="1" applyProtection="1">
      <protection locked="0"/>
    </xf>
    <xf numFmtId="0" fontId="10" fillId="5" borderId="38" xfId="6" applyFont="1" applyFill="1" applyBorder="1"/>
    <xf numFmtId="0" fontId="10" fillId="5" borderId="8" xfId="6" applyFont="1" applyFill="1" applyBorder="1"/>
    <xf numFmtId="10" fontId="46" fillId="11" borderId="41" xfId="6" applyNumberFormat="1" applyFont="1" applyFill="1" applyBorder="1" applyProtection="1">
      <protection locked="0"/>
    </xf>
    <xf numFmtId="0" fontId="10" fillId="5" borderId="42" xfId="6" applyFont="1" applyFill="1" applyBorder="1"/>
    <xf numFmtId="10" fontId="46" fillId="11" borderId="40" xfId="6" applyNumberFormat="1" applyFont="1" applyFill="1" applyBorder="1" applyProtection="1">
      <protection locked="0"/>
    </xf>
    <xf numFmtId="0" fontId="46" fillId="11" borderId="40" xfId="6" applyFont="1" applyFill="1" applyBorder="1" applyProtection="1">
      <protection locked="0"/>
    </xf>
    <xf numFmtId="0" fontId="45" fillId="0" borderId="1" xfId="6" applyFont="1"/>
    <xf numFmtId="0" fontId="0" fillId="0" borderId="1" xfId="6" applyFont="1" applyAlignment="1">
      <alignment vertical="top" wrapText="1"/>
    </xf>
    <xf numFmtId="0" fontId="4" fillId="0" borderId="1" xfId="6" applyFont="1"/>
    <xf numFmtId="0" fontId="15" fillId="0" borderId="1" xfId="6" applyFont="1"/>
    <xf numFmtId="0" fontId="14" fillId="0" borderId="1" xfId="6" applyFont="1"/>
    <xf numFmtId="172" fontId="14" fillId="9" borderId="1" xfId="1" applyNumberFormat="1" applyFont="1" applyFill="1" applyAlignment="1" applyProtection="1">
      <alignment horizontal="left" indent="1"/>
      <protection locked="0"/>
    </xf>
    <xf numFmtId="0" fontId="45" fillId="7" borderId="1" xfId="6" applyFont="1" applyFill="1"/>
    <xf numFmtId="0" fontId="48" fillId="5" borderId="43" xfId="6" applyFont="1" applyFill="1" applyBorder="1"/>
    <xf numFmtId="164" fontId="49" fillId="5" borderId="44" xfId="6" applyNumberFormat="1" applyFont="1" applyFill="1" applyBorder="1"/>
    <xf numFmtId="164" fontId="49" fillId="5" borderId="44" xfId="6" applyNumberFormat="1" applyFont="1" applyFill="1" applyBorder="1" applyAlignment="1">
      <alignment horizontal="right"/>
    </xf>
    <xf numFmtId="164" fontId="49" fillId="5" borderId="45" xfId="6" applyNumberFormat="1" applyFont="1" applyFill="1" applyBorder="1"/>
    <xf numFmtId="164" fontId="49" fillId="5" borderId="46" xfId="6" applyNumberFormat="1" applyFont="1" applyFill="1" applyBorder="1"/>
    <xf numFmtId="0" fontId="41" fillId="15" borderId="63" xfId="6" applyFont="1" applyFill="1" applyBorder="1" applyAlignment="1">
      <alignment horizontal="left" indent="1"/>
    </xf>
    <xf numFmtId="0" fontId="47" fillId="11" borderId="63" xfId="6" applyFont="1" applyFill="1" applyBorder="1" applyAlignment="1" applyProtection="1">
      <alignment horizontal="left" indent="1"/>
      <protection locked="0"/>
    </xf>
    <xf numFmtId="0" fontId="64" fillId="11" borderId="63" xfId="6" applyFont="1" applyFill="1" applyBorder="1" applyAlignment="1" applyProtection="1">
      <alignment horizontal="left" indent="1"/>
      <protection locked="0"/>
    </xf>
    <xf numFmtId="0" fontId="41" fillId="15" borderId="65" xfId="6" applyFont="1" applyFill="1" applyBorder="1"/>
    <xf numFmtId="0" fontId="47" fillId="11" borderId="65" xfId="6" applyFont="1" applyFill="1" applyBorder="1" applyProtection="1">
      <protection locked="0"/>
    </xf>
    <xf numFmtId="0" fontId="41" fillId="15" borderId="65" xfId="6" applyFont="1" applyFill="1" applyBorder="1" applyAlignment="1">
      <alignment horizontal="center"/>
    </xf>
    <xf numFmtId="0" fontId="41" fillId="15" borderId="65" xfId="6" applyFont="1" applyFill="1" applyBorder="1" applyAlignment="1">
      <alignment horizontal="center" wrapText="1"/>
    </xf>
    <xf numFmtId="164" fontId="47" fillId="11" borderId="65" xfId="6" applyNumberFormat="1" applyFont="1" applyFill="1" applyBorder="1" applyProtection="1">
      <protection locked="0"/>
    </xf>
    <xf numFmtId="164" fontId="64" fillId="11" borderId="65" xfId="6" applyNumberFormat="1" applyFont="1" applyFill="1" applyBorder="1" applyProtection="1">
      <protection locked="0"/>
    </xf>
    <xf numFmtId="14" fontId="47" fillId="11" borderId="65" xfId="6" applyNumberFormat="1" applyFont="1" applyFill="1" applyBorder="1" applyProtection="1">
      <protection locked="0"/>
    </xf>
    <xf numFmtId="14" fontId="64" fillId="11" borderId="65" xfId="6" applyNumberFormat="1" applyFont="1" applyFill="1" applyBorder="1" applyProtection="1">
      <protection locked="0"/>
    </xf>
    <xf numFmtId="0" fontId="41" fillId="15" borderId="67" xfId="6" applyFont="1" applyFill="1" applyBorder="1" applyAlignment="1">
      <alignment horizontal="left" indent="1"/>
    </xf>
    <xf numFmtId="14" fontId="47" fillId="11" borderId="67" xfId="6" applyNumberFormat="1" applyFont="1" applyFill="1" applyBorder="1" applyAlignment="1" applyProtection="1">
      <alignment wrapText="1"/>
      <protection locked="0"/>
    </xf>
    <xf numFmtId="0" fontId="65" fillId="0" borderId="1" xfId="6" applyFont="1" applyAlignment="1">
      <alignment vertical="center"/>
    </xf>
    <xf numFmtId="0" fontId="66" fillId="0" borderId="1" xfId="6" applyFont="1" applyAlignment="1">
      <alignment vertical="center"/>
    </xf>
    <xf numFmtId="0" fontId="40" fillId="0" borderId="1" xfId="6" applyFont="1" applyAlignment="1">
      <alignment horizontal="center"/>
    </xf>
    <xf numFmtId="0" fontId="40" fillId="0" borderId="1" xfId="6" quotePrefix="1" applyFont="1" applyAlignment="1">
      <alignment horizontal="center"/>
    </xf>
    <xf numFmtId="0" fontId="56" fillId="15" borderId="63" xfId="6" applyFont="1" applyFill="1" applyBorder="1"/>
    <xf numFmtId="0" fontId="56" fillId="15" borderId="64" xfId="6" applyFont="1" applyFill="1" applyBorder="1" applyAlignment="1">
      <alignment horizontal="center" wrapText="1"/>
    </xf>
    <xf numFmtId="0" fontId="56" fillId="15" borderId="65" xfId="6" applyFont="1" applyFill="1" applyBorder="1" applyAlignment="1">
      <alignment horizontal="center" wrapText="1"/>
    </xf>
    <xf numFmtId="0" fontId="56" fillId="15" borderId="66" xfId="6" applyFont="1" applyFill="1" applyBorder="1" applyAlignment="1">
      <alignment horizontal="left" indent="1"/>
    </xf>
    <xf numFmtId="0" fontId="57" fillId="9" borderId="63" xfId="6" applyFont="1" applyFill="1" applyBorder="1"/>
    <xf numFmtId="173" fontId="67" fillId="9" borderId="64" xfId="6" applyNumberFormat="1" applyFont="1" applyFill="1" applyBorder="1"/>
    <xf numFmtId="173" fontId="67" fillId="9" borderId="65" xfId="6" applyNumberFormat="1" applyFont="1" applyFill="1" applyBorder="1"/>
    <xf numFmtId="164" fontId="5" fillId="9" borderId="64" xfId="2" applyNumberFormat="1" applyFont="1" applyFill="1" applyBorder="1"/>
    <xf numFmtId="164" fontId="47" fillId="9" borderId="67" xfId="2" applyNumberFormat="1" applyFont="1" applyFill="1" applyBorder="1"/>
    <xf numFmtId="0" fontId="68" fillId="0" borderId="70" xfId="6" applyFont="1" applyBorder="1"/>
    <xf numFmtId="0" fontId="69" fillId="0" borderId="70" xfId="6" applyFont="1" applyBorder="1"/>
    <xf numFmtId="164" fontId="5" fillId="9" borderId="65" xfId="2" applyNumberFormat="1" applyFont="1" applyFill="1" applyBorder="1"/>
    <xf numFmtId="44" fontId="5" fillId="9" borderId="64" xfId="2" applyFont="1" applyFill="1" applyBorder="1"/>
    <xf numFmtId="0" fontId="58" fillId="5" borderId="43" xfId="6" applyFont="1" applyFill="1" applyBorder="1"/>
    <xf numFmtId="164" fontId="41" fillId="5" borderId="68" xfId="6" applyNumberFormat="1" applyFont="1" applyFill="1" applyBorder="1"/>
    <xf numFmtId="164" fontId="41" fillId="5" borderId="44" xfId="6" applyNumberFormat="1" applyFont="1" applyFill="1" applyBorder="1"/>
    <xf numFmtId="44" fontId="41" fillId="5" borderId="44" xfId="6" applyNumberFormat="1" applyFont="1" applyFill="1" applyBorder="1"/>
    <xf numFmtId="0" fontId="41" fillId="5" borderId="69" xfId="6" applyFont="1" applyFill="1" applyBorder="1"/>
    <xf numFmtId="0" fontId="58" fillId="0" borderId="1" xfId="6" applyFont="1"/>
    <xf numFmtId="0" fontId="13" fillId="0" borderId="1" xfId="6" applyFont="1"/>
    <xf numFmtId="0" fontId="41" fillId="15" borderId="63" xfId="6" applyFont="1" applyFill="1" applyBorder="1"/>
    <xf numFmtId="0" fontId="41" fillId="5" borderId="43" xfId="6" applyFont="1" applyFill="1" applyBorder="1" applyProtection="1">
      <protection locked="0"/>
    </xf>
    <xf numFmtId="0" fontId="47" fillId="11" borderId="63" xfId="6" applyFont="1" applyFill="1" applyBorder="1" applyProtection="1">
      <protection locked="0"/>
    </xf>
    <xf numFmtId="0" fontId="41" fillId="5" borderId="44" xfId="6" applyFont="1" applyFill="1" applyBorder="1" applyProtection="1">
      <protection locked="0"/>
    </xf>
    <xf numFmtId="164" fontId="41" fillId="5" borderId="44" xfId="6" applyNumberFormat="1" applyFont="1" applyFill="1" applyBorder="1" applyProtection="1">
      <protection locked="0"/>
    </xf>
    <xf numFmtId="0" fontId="41" fillId="5" borderId="45" xfId="6" applyFont="1" applyFill="1" applyBorder="1" applyAlignment="1" applyProtection="1">
      <alignment horizontal="center"/>
      <protection locked="0"/>
    </xf>
    <xf numFmtId="14" fontId="47" fillId="11" borderId="71" xfId="6" applyNumberFormat="1" applyFont="1" applyFill="1" applyBorder="1" applyAlignment="1" applyProtection="1">
      <alignment horizontal="center"/>
      <protection locked="0"/>
    </xf>
    <xf numFmtId="0" fontId="47" fillId="11" borderId="71" xfId="6" applyFont="1" applyFill="1" applyBorder="1" applyAlignment="1" applyProtection="1">
      <alignment horizontal="center"/>
      <protection locked="0"/>
    </xf>
    <xf numFmtId="0" fontId="41" fillId="11" borderId="71" xfId="6" applyFont="1" applyFill="1" applyBorder="1" applyAlignment="1" applyProtection="1">
      <alignment horizontal="center"/>
      <protection locked="0"/>
    </xf>
    <xf numFmtId="0" fontId="41" fillId="15" borderId="67" xfId="6" applyFont="1" applyFill="1" applyBorder="1"/>
    <xf numFmtId="0" fontId="41" fillId="5" borderId="69" xfId="6" applyFont="1" applyFill="1" applyBorder="1" applyProtection="1">
      <protection locked="0"/>
    </xf>
    <xf numFmtId="49" fontId="47" fillId="11" borderId="67" xfId="6" applyNumberFormat="1" applyFont="1" applyFill="1" applyBorder="1" applyProtection="1">
      <protection locked="0"/>
    </xf>
    <xf numFmtId="0" fontId="0" fillId="0" borderId="1" xfId="6" applyFont="1" applyAlignment="1">
      <alignment vertical="center"/>
    </xf>
    <xf numFmtId="0" fontId="42" fillId="5" borderId="43" xfId="6" applyFont="1" applyFill="1" applyBorder="1"/>
    <xf numFmtId="0" fontId="41" fillId="5" borderId="63" xfId="6" applyFont="1" applyFill="1" applyBorder="1"/>
    <xf numFmtId="164" fontId="64" fillId="0" borderId="64" xfId="6" applyNumberFormat="1" applyFont="1" applyBorder="1"/>
    <xf numFmtId="164" fontId="64" fillId="0" borderId="65" xfId="6" applyNumberFormat="1" applyFont="1" applyBorder="1"/>
    <xf numFmtId="164" fontId="64" fillId="10" borderId="64" xfId="6" applyNumberFormat="1" applyFont="1" applyFill="1" applyBorder="1"/>
    <xf numFmtId="0" fontId="56" fillId="15" borderId="71" xfId="6" applyFont="1" applyFill="1" applyBorder="1" applyAlignment="1">
      <alignment horizontal="center" wrapText="1"/>
    </xf>
    <xf numFmtId="44" fontId="41" fillId="5" borderId="45" xfId="6" applyNumberFormat="1" applyFont="1" applyFill="1" applyBorder="1"/>
    <xf numFmtId="44" fontId="64" fillId="10" borderId="71" xfId="6" applyNumberFormat="1" applyFont="1" applyFill="1" applyBorder="1"/>
    <xf numFmtId="164" fontId="64" fillId="12" borderId="64" xfId="6" applyNumberFormat="1" applyFont="1" applyFill="1" applyBorder="1"/>
    <xf numFmtId="44" fontId="64" fillId="12" borderId="71" xfId="6" applyNumberFormat="1" applyFont="1" applyFill="1" applyBorder="1"/>
    <xf numFmtId="164" fontId="64" fillId="6" borderId="65" xfId="6" applyNumberFormat="1" applyFont="1" applyFill="1" applyBorder="1"/>
    <xf numFmtId="164" fontId="47" fillId="11" borderId="67" xfId="6" applyNumberFormat="1" applyFont="1" applyFill="1" applyBorder="1"/>
    <xf numFmtId="0" fontId="65" fillId="0" borderId="1" xfId="6" applyFont="1" applyAlignment="1" applyProtection="1">
      <alignment vertical="center"/>
      <protection locked="0"/>
    </xf>
    <xf numFmtId="0" fontId="4" fillId="0" borderId="1" xfId="6" applyFont="1" applyProtection="1">
      <protection locked="0"/>
    </xf>
    <xf numFmtId="0" fontId="70" fillId="15" borderId="63" xfId="6" applyFont="1" applyFill="1" applyBorder="1" applyAlignment="1" applyProtection="1">
      <alignment vertical="center"/>
      <protection locked="0"/>
    </xf>
    <xf numFmtId="0" fontId="71" fillId="0" borderId="63" xfId="6" applyFont="1" applyBorder="1" applyAlignment="1" applyProtection="1">
      <alignment vertical="center"/>
      <protection locked="0"/>
    </xf>
    <xf numFmtId="0" fontId="72" fillId="0" borderId="63" xfId="6" applyFont="1" applyBorder="1" applyProtection="1">
      <protection locked="0"/>
    </xf>
    <xf numFmtId="0" fontId="70" fillId="15" borderId="66" xfId="6" applyFont="1" applyFill="1" applyBorder="1" applyAlignment="1" applyProtection="1">
      <alignment vertical="center"/>
      <protection locked="0"/>
    </xf>
    <xf numFmtId="0" fontId="71" fillId="0" borderId="66" xfId="6" applyFont="1" applyBorder="1" applyAlignment="1" applyProtection="1">
      <alignment vertical="center"/>
      <protection locked="0"/>
    </xf>
    <xf numFmtId="0" fontId="72" fillId="0" borderId="66" xfId="6" applyFont="1" applyBorder="1" applyProtection="1">
      <protection locked="0"/>
    </xf>
    <xf numFmtId="49" fontId="71" fillId="0" borderId="63" xfId="6" applyNumberFormat="1" applyFont="1" applyBorder="1" applyAlignment="1" applyProtection="1">
      <alignment vertical="center"/>
      <protection locked="0"/>
    </xf>
    <xf numFmtId="49" fontId="72" fillId="0" borderId="63" xfId="6" applyNumberFormat="1" applyFont="1" applyBorder="1" applyProtection="1">
      <protection locked="0"/>
    </xf>
    <xf numFmtId="49" fontId="72" fillId="0" borderId="63" xfId="6" quotePrefix="1" applyNumberFormat="1" applyFont="1" applyBorder="1" applyProtection="1">
      <protection locked="0"/>
    </xf>
    <xf numFmtId="0" fontId="70" fillId="15" borderId="65" xfId="6" applyFont="1" applyFill="1" applyBorder="1" applyAlignment="1" applyProtection="1">
      <alignment vertical="center"/>
      <protection locked="0"/>
    </xf>
    <xf numFmtId="0" fontId="71" fillId="0" borderId="65" xfId="6" applyFont="1" applyBorder="1" applyAlignment="1" applyProtection="1">
      <alignment vertical="center"/>
      <protection locked="0"/>
    </xf>
    <xf numFmtId="0" fontId="72" fillId="0" borderId="65" xfId="6" applyFont="1" applyBorder="1" applyProtection="1">
      <protection locked="0"/>
    </xf>
    <xf numFmtId="0" fontId="72" fillId="0" borderId="65" xfId="6" quotePrefix="1" applyFont="1" applyBorder="1" applyProtection="1">
      <protection locked="0"/>
    </xf>
    <xf numFmtId="0" fontId="42" fillId="15" borderId="63" xfId="6" applyFont="1" applyFill="1" applyBorder="1" applyProtection="1">
      <protection locked="0"/>
    </xf>
    <xf numFmtId="0" fontId="42" fillId="15" borderId="65" xfId="6" applyFont="1" applyFill="1" applyBorder="1" applyProtection="1">
      <protection locked="0"/>
    </xf>
    <xf numFmtId="0" fontId="42" fillId="15" borderId="66" xfId="6" applyFont="1" applyFill="1" applyBorder="1" applyProtection="1">
      <protection locked="0"/>
    </xf>
    <xf numFmtId="0" fontId="70" fillId="15" borderId="72" xfId="6" applyFont="1" applyFill="1" applyBorder="1" applyAlignment="1" applyProtection="1">
      <alignment vertical="center"/>
      <protection locked="0"/>
    </xf>
    <xf numFmtId="0" fontId="71" fillId="0" borderId="72" xfId="6" applyFont="1" applyBorder="1" applyAlignment="1" applyProtection="1">
      <alignment vertical="center"/>
      <protection locked="0"/>
    </xf>
    <xf numFmtId="0" fontId="72" fillId="0" borderId="73" xfId="6" applyFont="1" applyBorder="1" applyProtection="1">
      <protection locked="0"/>
    </xf>
    <xf numFmtId="0" fontId="3" fillId="0" borderId="1" xfId="6" applyFont="1"/>
    <xf numFmtId="22" fontId="0" fillId="0" borderId="1" xfId="6" applyNumberFormat="1" applyFont="1"/>
    <xf numFmtId="0" fontId="2" fillId="0" borderId="1" xfId="4"/>
    <xf numFmtId="0" fontId="6" fillId="3" borderId="1" xfId="4" applyFont="1" applyFill="1"/>
    <xf numFmtId="0" fontId="7" fillId="4" borderId="1" xfId="4" applyFont="1" applyFill="1"/>
    <xf numFmtId="4" fontId="7" fillId="0" borderId="1" xfId="4" applyNumberFormat="1" applyFont="1"/>
    <xf numFmtId="4" fontId="7" fillId="4" borderId="1" xfId="4" applyNumberFormat="1" applyFont="1" applyFill="1"/>
    <xf numFmtId="0" fontId="7" fillId="0" borderId="1" xfId="4" applyFont="1"/>
    <xf numFmtId="0" fontId="21" fillId="0" borderId="1" xfId="6" applyFont="1" applyProtection="1">
      <protection locked="0"/>
    </xf>
    <xf numFmtId="0" fontId="22" fillId="0" borderId="1" xfId="6" applyFont="1" applyProtection="1">
      <protection locked="0"/>
    </xf>
    <xf numFmtId="0" fontId="23" fillId="0" borderId="1" xfId="6" applyFont="1" applyAlignment="1" applyProtection="1">
      <alignment horizontal="left"/>
      <protection locked="0"/>
    </xf>
    <xf numFmtId="0" fontId="23" fillId="0" borderId="1" xfId="6" applyFont="1" applyProtection="1">
      <protection locked="0"/>
    </xf>
    <xf numFmtId="0" fontId="0" fillId="0" borderId="4" xfId="6" applyFont="1" applyBorder="1" applyAlignment="1" applyProtection="1">
      <alignment horizontal="center"/>
      <protection locked="0"/>
    </xf>
    <xf numFmtId="0" fontId="24" fillId="0" borderId="1" xfId="6" applyFont="1" applyAlignment="1" applyProtection="1">
      <alignment horizontal="left"/>
      <protection locked="0"/>
    </xf>
    <xf numFmtId="0" fontId="24" fillId="0" borderId="1" xfId="6" applyFont="1" applyProtection="1">
      <protection locked="0"/>
    </xf>
    <xf numFmtId="14" fontId="0" fillId="0" borderId="4" xfId="6" applyNumberFormat="1" applyFont="1" applyBorder="1" applyAlignment="1" applyProtection="1">
      <alignment vertical="center"/>
      <protection locked="0"/>
    </xf>
    <xf numFmtId="0" fontId="0" fillId="0" borderId="1" xfId="6" applyFont="1" applyAlignment="1" applyProtection="1">
      <alignment horizontal="center"/>
      <protection locked="0"/>
    </xf>
    <xf numFmtId="14" fontId="0" fillId="0" borderId="1" xfId="6" applyNumberFormat="1" applyFont="1" applyAlignment="1" applyProtection="1">
      <alignment vertical="center"/>
      <protection locked="0"/>
    </xf>
    <xf numFmtId="0" fontId="0" fillId="0" borderId="1" xfId="6" applyFont="1" applyAlignment="1" applyProtection="1">
      <alignment horizontal="right"/>
      <protection locked="0"/>
    </xf>
    <xf numFmtId="0" fontId="0" fillId="0" borderId="1" xfId="6" applyFont="1" applyProtection="1">
      <protection locked="0"/>
    </xf>
    <xf numFmtId="0" fontId="0" fillId="0" borderId="1" xfId="6" applyFont="1" applyAlignment="1" applyProtection="1">
      <alignment horizontal="left"/>
      <protection locked="0"/>
    </xf>
    <xf numFmtId="0" fontId="0" fillId="0" borderId="3" xfId="6" applyFont="1" applyBorder="1" applyProtection="1">
      <protection locked="0"/>
    </xf>
    <xf numFmtId="0" fontId="0" fillId="0" borderId="1" xfId="6" applyFont="1" applyAlignment="1" applyProtection="1">
      <alignment vertical="top" wrapText="1"/>
      <protection locked="0"/>
    </xf>
    <xf numFmtId="0" fontId="0" fillId="0" borderId="1" xfId="6" applyFont="1" applyAlignment="1" applyProtection="1">
      <alignment horizontal="center" vertical="top" wrapText="1"/>
      <protection locked="0"/>
    </xf>
    <xf numFmtId="44" fontId="3" fillId="8" borderId="9" xfId="2" applyFont="1" applyFill="1" applyBorder="1" applyProtection="1">
      <protection locked="0"/>
    </xf>
    <xf numFmtId="0" fontId="25" fillId="0" borderId="1" xfId="6" applyFont="1" applyAlignment="1" applyProtection="1">
      <alignment vertical="center"/>
      <protection locked="0"/>
    </xf>
    <xf numFmtId="0" fontId="25" fillId="0" borderId="1" xfId="6" applyFont="1" applyAlignment="1" applyProtection="1">
      <alignment horizontal="right" vertical="center" wrapText="1"/>
      <protection locked="0"/>
    </xf>
    <xf numFmtId="0" fontId="25" fillId="0" borderId="1" xfId="6" applyFont="1" applyAlignment="1" applyProtection="1">
      <alignment vertical="center" wrapText="1"/>
      <protection locked="0"/>
    </xf>
    <xf numFmtId="0" fontId="25" fillId="0" borderId="1" xfId="6" applyFont="1" applyAlignment="1" applyProtection="1">
      <alignment horizontal="center" vertical="center" wrapText="1"/>
      <protection locked="0"/>
    </xf>
    <xf numFmtId="0" fontId="27" fillId="0" borderId="1" xfId="6" applyFont="1"/>
    <xf numFmtId="0" fontId="28" fillId="0" borderId="1" xfId="6" applyFont="1"/>
    <xf numFmtId="0" fontId="28" fillId="0" borderId="1" xfId="6" applyFont="1" applyAlignment="1">
      <alignment horizontal="right"/>
    </xf>
    <xf numFmtId="0" fontId="29" fillId="0" borderId="3" xfId="6" applyFont="1" applyBorder="1" applyAlignment="1">
      <alignment horizontal="left"/>
    </xf>
    <xf numFmtId="0" fontId="29" fillId="0" borderId="3" xfId="6" applyFont="1" applyBorder="1"/>
    <xf numFmtId="14" fontId="29" fillId="0" borderId="3" xfId="6" applyNumberFormat="1" applyFont="1" applyBorder="1" applyAlignment="1">
      <alignment horizontal="left"/>
    </xf>
    <xf numFmtId="0" fontId="29" fillId="0" borderId="1" xfId="6" applyFont="1"/>
    <xf numFmtId="14" fontId="29" fillId="0" borderId="1" xfId="6" applyNumberFormat="1" applyFont="1"/>
    <xf numFmtId="0" fontId="27" fillId="0" borderId="10" xfId="6" applyFont="1" applyBorder="1"/>
    <xf numFmtId="0" fontId="31" fillId="9" borderId="10" xfId="6" applyFont="1" applyFill="1" applyBorder="1"/>
    <xf numFmtId="0" fontId="32" fillId="0" borderId="11" xfId="6" applyFont="1" applyBorder="1" applyAlignment="1">
      <alignment horizontal="center" wrapText="1"/>
    </xf>
    <xf numFmtId="0" fontId="29" fillId="0" borderId="12" xfId="6" applyFont="1" applyBorder="1"/>
    <xf numFmtId="0" fontId="32" fillId="0" borderId="13" xfId="6" applyFont="1" applyBorder="1" applyAlignment="1">
      <alignment horizontal="center" wrapText="1"/>
    </xf>
    <xf numFmtId="0" fontId="28" fillId="0" borderId="1" xfId="6" applyFont="1" applyAlignment="1">
      <alignment horizontal="left"/>
    </xf>
    <xf numFmtId="0" fontId="28" fillId="0" borderId="12" xfId="6" applyFont="1" applyBorder="1"/>
    <xf numFmtId="165" fontId="1" fillId="2" borderId="2" xfId="3" quotePrefix="1" applyNumberFormat="1" applyAlignment="1">
      <alignment horizontal="left" indent="1"/>
    </xf>
    <xf numFmtId="165" fontId="32" fillId="0" borderId="14" xfId="6" applyNumberFormat="1" applyFont="1" applyBorder="1" applyAlignment="1">
      <alignment horizontal="left" indent="1"/>
    </xf>
    <xf numFmtId="0" fontId="32" fillId="0" borderId="12" xfId="6" applyFont="1" applyBorder="1" applyAlignment="1">
      <alignment vertical="center"/>
    </xf>
    <xf numFmtId="44" fontId="32" fillId="0" borderId="14" xfId="6" applyNumberFormat="1" applyFont="1" applyBorder="1" applyAlignment="1">
      <alignment vertical="center"/>
    </xf>
    <xf numFmtId="9" fontId="32" fillId="0" borderId="14" xfId="5" applyFont="1" applyBorder="1" applyAlignment="1">
      <alignment vertical="center"/>
    </xf>
    <xf numFmtId="0" fontId="30" fillId="0" borderId="1" xfId="6" applyFont="1"/>
    <xf numFmtId="165" fontId="32" fillId="0" borderId="15" xfId="6" applyNumberFormat="1" applyFont="1" applyBorder="1" applyAlignment="1">
      <alignment horizontal="left" indent="1"/>
    </xf>
    <xf numFmtId="9" fontId="28" fillId="0" borderId="1" xfId="6" applyNumberFormat="1" applyFont="1"/>
    <xf numFmtId="9" fontId="31" fillId="0" borderId="12" xfId="6" applyNumberFormat="1" applyFont="1" applyBorder="1"/>
    <xf numFmtId="0" fontId="31" fillId="0" borderId="12" xfId="6" applyFont="1" applyBorder="1"/>
    <xf numFmtId="44" fontId="30" fillId="0" borderId="1" xfId="6" applyNumberFormat="1" applyFont="1"/>
    <xf numFmtId="0" fontId="31" fillId="0" borderId="1" xfId="6" applyFont="1"/>
    <xf numFmtId="0" fontId="33" fillId="0" borderId="1" xfId="6" applyFont="1"/>
    <xf numFmtId="0" fontId="34" fillId="0" borderId="1" xfId="6" applyFont="1" applyAlignment="1">
      <alignment vertical="top"/>
    </xf>
    <xf numFmtId="0" fontId="28" fillId="0" borderId="1" xfId="6" applyFont="1" applyAlignment="1">
      <alignment vertical="top"/>
    </xf>
    <xf numFmtId="0" fontId="31" fillId="0" borderId="1" xfId="6" applyFont="1" applyAlignment="1">
      <alignment vertical="top"/>
    </xf>
    <xf numFmtId="0" fontId="33" fillId="0" borderId="1" xfId="6" applyFont="1" applyAlignment="1">
      <alignment vertical="top"/>
    </xf>
    <xf numFmtId="0" fontId="32" fillId="0" borderId="16" xfId="6" applyFont="1" applyBorder="1" applyAlignment="1">
      <alignment vertical="center"/>
    </xf>
    <xf numFmtId="44" fontId="32" fillId="0" borderId="17" xfId="6" applyNumberFormat="1" applyFont="1" applyBorder="1" applyAlignment="1">
      <alignment vertical="center"/>
    </xf>
    <xf numFmtId="0" fontId="0" fillId="0" borderId="18" xfId="6" applyFont="1" applyBorder="1"/>
    <xf numFmtId="0" fontId="0" fillId="0" borderId="4" xfId="6" applyFont="1" applyBorder="1"/>
    <xf numFmtId="0" fontId="0" fillId="0" borderId="5" xfId="6" applyFont="1" applyBorder="1"/>
    <xf numFmtId="165" fontId="32" fillId="0" borderId="19" xfId="6" applyNumberFormat="1" applyFont="1" applyBorder="1" applyAlignment="1">
      <alignment horizontal="left" indent="1"/>
    </xf>
    <xf numFmtId="44" fontId="32" fillId="0" borderId="20" xfId="6" applyNumberFormat="1" applyFont="1" applyBorder="1" applyAlignment="1">
      <alignment vertical="center"/>
    </xf>
    <xf numFmtId="3" fontId="28" fillId="0" borderId="1" xfId="6" applyNumberFormat="1" applyFont="1"/>
    <xf numFmtId="0" fontId="31" fillId="0" borderId="1" xfId="6" applyFont="1" applyAlignment="1">
      <alignment horizontal="center"/>
    </xf>
    <xf numFmtId="0" fontId="35" fillId="10" borderId="21" xfId="6" applyFont="1" applyFill="1" applyBorder="1"/>
    <xf numFmtId="44" fontId="32" fillId="10" borderId="22" xfId="6" applyNumberFormat="1" applyFont="1" applyFill="1" applyBorder="1" applyAlignment="1">
      <alignment vertical="center"/>
    </xf>
    <xf numFmtId="44" fontId="32" fillId="10" borderId="23" xfId="6" applyNumberFormat="1" applyFont="1" applyFill="1" applyBorder="1" applyAlignment="1">
      <alignment vertical="center"/>
    </xf>
    <xf numFmtId="9" fontId="32" fillId="10" borderId="23" xfId="5" applyFont="1" applyFill="1" applyBorder="1" applyAlignment="1">
      <alignment vertical="center"/>
    </xf>
    <xf numFmtId="44" fontId="32" fillId="0" borderId="23" xfId="6" applyNumberFormat="1" applyFont="1" applyBorder="1" applyAlignment="1">
      <alignment vertical="center"/>
    </xf>
    <xf numFmtId="0" fontId="28" fillId="0" borderId="1" xfId="6" applyFont="1" applyAlignment="1">
      <alignment horizontal="center"/>
    </xf>
    <xf numFmtId="165" fontId="1" fillId="2" borderId="2" xfId="3" applyNumberFormat="1" applyAlignment="1">
      <alignment horizontal="center"/>
    </xf>
    <xf numFmtId="165" fontId="32" fillId="0" borderId="15" xfId="6" applyNumberFormat="1" applyFont="1" applyBorder="1" applyAlignment="1">
      <alignment horizontal="center"/>
    </xf>
    <xf numFmtId="0" fontId="32" fillId="0" borderId="15" xfId="6" applyFont="1" applyBorder="1" applyAlignment="1">
      <alignment horizontal="left" vertical="center" indent="1"/>
    </xf>
    <xf numFmtId="0" fontId="32" fillId="0" borderId="12" xfId="6" applyFont="1" applyBorder="1" applyAlignment="1">
      <alignment horizontal="left" vertical="center"/>
    </xf>
    <xf numFmtId="44" fontId="32" fillId="0" borderId="24" xfId="6" applyNumberFormat="1" applyFont="1" applyBorder="1" applyAlignment="1">
      <alignment vertical="center"/>
    </xf>
    <xf numFmtId="44" fontId="32" fillId="0" borderId="25" xfId="6" applyNumberFormat="1" applyFont="1" applyBorder="1" applyAlignment="1">
      <alignment vertical="center"/>
    </xf>
    <xf numFmtId="0" fontId="35" fillId="0" borderId="1" xfId="6" applyFont="1"/>
    <xf numFmtId="165" fontId="1" fillId="2" borderId="2" xfId="3" quotePrefix="1" applyNumberFormat="1" applyAlignment="1">
      <alignment horizontal="center"/>
    </xf>
    <xf numFmtId="166" fontId="32" fillId="0" borderId="12" xfId="6" applyNumberFormat="1" applyFont="1" applyBorder="1" applyAlignment="1">
      <alignment horizontal="left" vertical="center"/>
    </xf>
    <xf numFmtId="167" fontId="30" fillId="0" borderId="1" xfId="6" applyNumberFormat="1" applyFont="1"/>
    <xf numFmtId="168" fontId="30" fillId="0" borderId="1" xfId="6" applyNumberFormat="1" applyFont="1"/>
    <xf numFmtId="164" fontId="28" fillId="0" borderId="1" xfId="6" applyNumberFormat="1" applyFont="1"/>
    <xf numFmtId="164" fontId="30" fillId="0" borderId="1" xfId="6" applyNumberFormat="1" applyFont="1"/>
    <xf numFmtId="44" fontId="32" fillId="0" borderId="26" xfId="6" applyNumberFormat="1" applyFont="1" applyBorder="1" applyAlignment="1">
      <alignment vertical="center"/>
    </xf>
    <xf numFmtId="9" fontId="32" fillId="0" borderId="26" xfId="5" applyFont="1" applyBorder="1" applyAlignment="1">
      <alignment vertical="center"/>
    </xf>
    <xf numFmtId="165" fontId="32" fillId="10" borderId="10" xfId="6" applyNumberFormat="1" applyFont="1" applyFill="1" applyBorder="1" applyAlignment="1">
      <alignment horizontal="center"/>
    </xf>
    <xf numFmtId="44" fontId="32" fillId="10" borderId="27" xfId="6" applyNumberFormat="1" applyFont="1" applyFill="1" applyBorder="1" applyAlignment="1">
      <alignment vertical="center"/>
    </xf>
    <xf numFmtId="9" fontId="32" fillId="10" borderId="27" xfId="5" applyFont="1" applyFill="1" applyBorder="1" applyAlignment="1">
      <alignment vertical="center"/>
    </xf>
    <xf numFmtId="165" fontId="32" fillId="10" borderId="28" xfId="6" applyNumberFormat="1" applyFont="1" applyFill="1" applyBorder="1" applyAlignment="1">
      <alignment horizontal="center"/>
    </xf>
    <xf numFmtId="44" fontId="32" fillId="10" borderId="29" xfId="6" applyNumberFormat="1" applyFont="1" applyFill="1" applyBorder="1" applyAlignment="1">
      <alignment vertical="center"/>
    </xf>
    <xf numFmtId="9" fontId="32" fillId="10" borderId="29" xfId="5" applyFont="1" applyFill="1" applyBorder="1" applyAlignment="1">
      <alignment vertical="center"/>
    </xf>
    <xf numFmtId="165" fontId="32" fillId="0" borderId="1" xfId="6" applyNumberFormat="1" applyFont="1" applyAlignment="1">
      <alignment horizontal="center"/>
    </xf>
    <xf numFmtId="0" fontId="32" fillId="0" borderId="1" xfId="6" applyFont="1" applyAlignment="1">
      <alignment vertical="center"/>
    </xf>
    <xf numFmtId="3" fontId="32" fillId="0" borderId="1" xfId="6" applyNumberFormat="1" applyFont="1" applyAlignment="1">
      <alignment horizontal="right" vertical="center"/>
    </xf>
    <xf numFmtId="9" fontId="32" fillId="0" borderId="1" xfId="5" applyFont="1" applyAlignment="1">
      <alignment horizontal="right" vertical="center"/>
    </xf>
    <xf numFmtId="164" fontId="32" fillId="0" borderId="1" xfId="6" applyNumberFormat="1" applyFont="1" applyAlignment="1">
      <alignment vertical="center"/>
    </xf>
    <xf numFmtId="9" fontId="32" fillId="0" borderId="1" xfId="5" applyFont="1" applyAlignment="1">
      <alignment vertical="center"/>
    </xf>
    <xf numFmtId="0" fontId="32" fillId="0" borderId="30" xfId="6" applyFont="1" applyBorder="1" applyAlignment="1">
      <alignment vertical="center"/>
    </xf>
    <xf numFmtId="0" fontId="32" fillId="0" borderId="31" xfId="6" applyFont="1" applyBorder="1" applyAlignment="1">
      <alignment horizontal="right" vertical="center"/>
    </xf>
    <xf numFmtId="164" fontId="32" fillId="0" borderId="31" xfId="6" applyNumberFormat="1" applyFont="1" applyBorder="1" applyAlignment="1">
      <alignment vertical="center"/>
    </xf>
    <xf numFmtId="164" fontId="32" fillId="0" borderId="32" xfId="6" applyNumberFormat="1" applyFont="1" applyBorder="1" applyAlignment="1">
      <alignment vertical="center"/>
    </xf>
    <xf numFmtId="0" fontId="32" fillId="0" borderId="33" xfId="6" applyFont="1" applyBorder="1" applyAlignment="1">
      <alignment vertical="center"/>
    </xf>
    <xf numFmtId="0" fontId="32" fillId="0" borderId="1" xfId="6" applyFont="1" applyAlignment="1">
      <alignment horizontal="right" vertical="center"/>
    </xf>
    <xf numFmtId="164" fontId="32" fillId="0" borderId="34" xfId="6" applyNumberFormat="1" applyFont="1" applyBorder="1" applyAlignment="1">
      <alignment vertical="center"/>
    </xf>
    <xf numFmtId="164" fontId="32" fillId="0" borderId="1" xfId="6" applyNumberFormat="1" applyFont="1" applyAlignment="1">
      <alignment horizontal="left" vertical="center"/>
    </xf>
    <xf numFmtId="164" fontId="36" fillId="0" borderId="1" xfId="6" applyNumberFormat="1" applyFont="1" applyAlignment="1">
      <alignment vertical="center"/>
    </xf>
    <xf numFmtId="164" fontId="37" fillId="7" borderId="1" xfId="6" applyNumberFormat="1" applyFont="1" applyFill="1" applyAlignment="1">
      <alignment vertical="center"/>
    </xf>
    <xf numFmtId="169" fontId="32" fillId="0" borderId="1" xfId="6" applyNumberFormat="1" applyFont="1" applyAlignment="1">
      <alignment vertical="center"/>
    </xf>
    <xf numFmtId="164" fontId="38" fillId="7" borderId="1" xfId="6" applyNumberFormat="1" applyFont="1" applyFill="1" applyAlignment="1">
      <alignment vertical="center"/>
    </xf>
    <xf numFmtId="0" fontId="32" fillId="0" borderId="35" xfId="6" applyFont="1" applyBorder="1" applyAlignment="1">
      <alignment vertical="center"/>
    </xf>
    <xf numFmtId="0" fontId="32" fillId="0" borderId="10" xfId="6" applyFont="1" applyBorder="1" applyAlignment="1">
      <alignment vertical="center"/>
    </xf>
    <xf numFmtId="164" fontId="32" fillId="0" borderId="10" xfId="6" applyNumberFormat="1" applyFont="1" applyBorder="1" applyAlignment="1">
      <alignment vertical="center"/>
    </xf>
    <xf numFmtId="164" fontId="32" fillId="0" borderId="36" xfId="6" applyNumberFormat="1" applyFont="1" applyBorder="1" applyAlignment="1">
      <alignment vertical="center"/>
    </xf>
    <xf numFmtId="3" fontId="30" fillId="0" borderId="1" xfId="6" applyNumberFormat="1" applyFont="1"/>
    <xf numFmtId="44" fontId="28" fillId="0" borderId="1" xfId="6" applyNumberFormat="1" applyFont="1"/>
    <xf numFmtId="0" fontId="39" fillId="0" borderId="1" xfId="6" applyFont="1"/>
    <xf numFmtId="0" fontId="39" fillId="0" borderId="1" xfId="6" quotePrefix="1" applyFont="1"/>
    <xf numFmtId="170" fontId="30" fillId="0" borderId="1" xfId="6" applyNumberFormat="1" applyFont="1"/>
    <xf numFmtId="44" fontId="30" fillId="0" borderId="1" xfId="2" applyFont="1"/>
    <xf numFmtId="171" fontId="30" fillId="0" borderId="1" xfId="5" applyNumberFormat="1" applyFont="1"/>
    <xf numFmtId="0" fontId="39" fillId="0" borderId="1" xfId="6" applyFont="1" applyAlignment="1">
      <alignment horizontal="left" indent="5"/>
    </xf>
    <xf numFmtId="0" fontId="39" fillId="0" borderId="1" xfId="6" applyFont="1" applyAlignment="1">
      <alignment horizontal="left" indent="4"/>
    </xf>
    <xf numFmtId="4" fontId="30" fillId="0" borderId="1" xfId="6" applyNumberFormat="1" applyFont="1"/>
    <xf numFmtId="164" fontId="32" fillId="0" borderId="1" xfId="6" applyNumberFormat="1" applyFont="1" applyAlignment="1">
      <alignment horizontal="right" vertical="center"/>
    </xf>
    <xf numFmtId="0" fontId="1" fillId="2" borderId="2" xfId="3"/>
    <xf numFmtId="0" fontId="59" fillId="16" borderId="0" xfId="6" applyFont="1" applyFill="1" applyBorder="1" applyAlignment="1">
      <alignment vertical="top"/>
    </xf>
    <xf numFmtId="0" fontId="46" fillId="11" borderId="6" xfId="6" applyFont="1" applyFill="1" applyBorder="1" applyAlignment="1" applyProtection="1">
      <alignment horizontal="left" vertical="top"/>
      <protection locked="0"/>
    </xf>
    <xf numFmtId="0" fontId="46" fillId="11" borderId="47" xfId="6" applyFont="1" applyFill="1" applyBorder="1" applyAlignment="1" applyProtection="1">
      <alignment horizontal="left" vertical="top"/>
      <protection locked="0"/>
    </xf>
    <xf numFmtId="0" fontId="46" fillId="11" borderId="48" xfId="6" applyFont="1" applyFill="1" applyBorder="1" applyAlignment="1" applyProtection="1">
      <alignment horizontal="left" vertical="top"/>
      <protection locked="0"/>
    </xf>
    <xf numFmtId="0" fontId="46" fillId="11" borderId="7" xfId="6" applyFont="1" applyFill="1" applyBorder="1" applyAlignment="1" applyProtection="1">
      <alignment horizontal="left" vertical="top"/>
      <protection locked="0"/>
    </xf>
    <xf numFmtId="0" fontId="46" fillId="11" borderId="1" xfId="6" applyFont="1" applyFill="1" applyAlignment="1" applyProtection="1">
      <alignment horizontal="left" vertical="top"/>
      <protection locked="0"/>
    </xf>
    <xf numFmtId="0" fontId="46" fillId="11" borderId="39" xfId="6" applyFont="1" applyFill="1" applyBorder="1" applyAlignment="1" applyProtection="1">
      <alignment horizontal="left" vertical="top"/>
      <protection locked="0"/>
    </xf>
    <xf numFmtId="0" fontId="46" fillId="11" borderId="8" xfId="6" applyFont="1" applyFill="1" applyBorder="1" applyAlignment="1" applyProtection="1">
      <alignment horizontal="left" vertical="top"/>
      <protection locked="0"/>
    </xf>
    <xf numFmtId="0" fontId="46" fillId="11" borderId="3" xfId="6" applyFont="1" applyFill="1" applyBorder="1" applyAlignment="1" applyProtection="1">
      <alignment horizontal="left" vertical="top"/>
      <protection locked="0"/>
    </xf>
    <xf numFmtId="0" fontId="46" fillId="11" borderId="41" xfId="6" applyFont="1" applyFill="1" applyBorder="1" applyAlignment="1" applyProtection="1">
      <alignment horizontal="left" vertical="top"/>
      <protection locked="0"/>
    </xf>
    <xf numFmtId="0" fontId="50" fillId="0" borderId="1" xfId="4" applyFont="1"/>
    <xf numFmtId="0" fontId="2" fillId="0" borderId="1" xfId="4"/>
    <xf numFmtId="0" fontId="0" fillId="0" borderId="4" xfId="6" applyFont="1" applyBorder="1" applyAlignment="1" applyProtection="1">
      <alignment horizontal="left" wrapText="1"/>
      <protection locked="0"/>
    </xf>
    <xf numFmtId="0" fontId="51" fillId="13" borderId="49" xfId="6" applyFont="1" applyFill="1" applyBorder="1" applyAlignment="1" applyProtection="1">
      <alignment horizontal="left" vertical="center" wrapText="1"/>
      <protection locked="0"/>
    </xf>
    <xf numFmtId="0" fontId="51" fillId="13" borderId="28" xfId="6" applyFont="1" applyFill="1" applyBorder="1" applyAlignment="1" applyProtection="1">
      <alignment horizontal="left" vertical="center" wrapText="1"/>
      <protection locked="0"/>
    </xf>
    <xf numFmtId="0" fontId="51" fillId="13" borderId="9" xfId="6" applyFont="1" applyFill="1" applyBorder="1" applyAlignment="1" applyProtection="1">
      <alignment horizontal="left" vertical="center" wrapText="1"/>
      <protection locked="0"/>
    </xf>
    <xf numFmtId="0" fontId="25" fillId="0" borderId="1" xfId="6" applyFont="1" applyAlignment="1" applyProtection="1">
      <alignment horizontal="left" vertical="center"/>
      <protection locked="0"/>
    </xf>
    <xf numFmtId="0" fontId="0" fillId="0" borderId="4" xfId="6" applyFont="1" applyBorder="1" applyProtection="1">
      <protection locked="0"/>
    </xf>
    <xf numFmtId="0" fontId="0" fillId="0" borderId="4" xfId="6" applyFont="1" applyBorder="1" applyAlignment="1" applyProtection="1">
      <alignment horizontal="left" vertical="top" wrapText="1"/>
      <protection locked="0"/>
    </xf>
    <xf numFmtId="0" fontId="3" fillId="8" borderId="49" xfId="6" applyFont="1" applyFill="1" applyBorder="1" applyAlignment="1" applyProtection="1">
      <alignment horizontal="left"/>
      <protection locked="0"/>
    </xf>
    <xf numFmtId="0" fontId="3" fillId="8" borderId="28" xfId="6" applyFont="1" applyFill="1" applyBorder="1" applyAlignment="1" applyProtection="1">
      <alignment horizontal="left"/>
      <protection locked="0"/>
    </xf>
    <xf numFmtId="0" fontId="3" fillId="8" borderId="9" xfId="6" applyFont="1" applyFill="1" applyBorder="1" applyAlignment="1" applyProtection="1">
      <alignment horizontal="left"/>
      <protection locked="0"/>
    </xf>
    <xf numFmtId="0" fontId="32" fillId="0" borderId="1" xfId="6" applyFont="1" applyAlignment="1">
      <alignment horizontal="right" vertical="center"/>
    </xf>
    <xf numFmtId="44" fontId="29" fillId="0" borderId="12" xfId="6" applyNumberFormat="1" applyFont="1" applyBorder="1" applyAlignment="1">
      <alignment horizontal="left"/>
    </xf>
    <xf numFmtId="44" fontId="29" fillId="0" borderId="55" xfId="6" applyNumberFormat="1" applyFont="1" applyBorder="1" applyAlignment="1">
      <alignment horizontal="left"/>
    </xf>
    <xf numFmtId="44" fontId="28" fillId="0" borderId="12" xfId="6" applyNumberFormat="1" applyFont="1" applyBorder="1" applyAlignment="1">
      <alignment horizontal="left"/>
    </xf>
    <xf numFmtId="0" fontId="33" fillId="0" borderId="1" xfId="6" applyFont="1" applyAlignment="1">
      <alignment horizontal="left" vertical="center" wrapText="1" indent="1"/>
    </xf>
    <xf numFmtId="170" fontId="54" fillId="0" borderId="56" xfId="2" applyNumberFormat="1" applyFont="1" applyBorder="1" applyAlignment="1">
      <alignment horizontal="center" vertical="center"/>
    </xf>
    <xf numFmtId="170" fontId="54" fillId="0" borderId="53" xfId="2" applyNumberFormat="1" applyFont="1" applyBorder="1" applyAlignment="1">
      <alignment horizontal="center" vertical="center"/>
    </xf>
    <xf numFmtId="170" fontId="54" fillId="0" borderId="57" xfId="2" applyNumberFormat="1" applyFont="1" applyBorder="1" applyAlignment="1">
      <alignment horizontal="center" vertical="center"/>
    </xf>
    <xf numFmtId="170" fontId="54" fillId="0" borderId="13" xfId="2" applyNumberFormat="1" applyFont="1" applyBorder="1" applyAlignment="1">
      <alignment horizontal="center" vertical="center"/>
    </xf>
    <xf numFmtId="170" fontId="54" fillId="0" borderId="54" xfId="2" applyNumberFormat="1" applyFont="1" applyBorder="1" applyAlignment="1">
      <alignment horizontal="center" vertical="center"/>
    </xf>
    <xf numFmtId="170" fontId="54" fillId="0" borderId="58" xfId="2" applyNumberFormat="1" applyFont="1" applyBorder="1" applyAlignment="1">
      <alignment horizontal="center" vertical="center"/>
    </xf>
    <xf numFmtId="170" fontId="55" fillId="0" borderId="1" xfId="2" applyNumberFormat="1" applyFont="1" applyAlignment="1">
      <alignment horizontal="center" vertical="center"/>
    </xf>
    <xf numFmtId="0" fontId="31" fillId="0" borderId="1" xfId="6" applyFont="1" applyAlignment="1">
      <alignment horizontal="left"/>
    </xf>
    <xf numFmtId="0" fontId="31" fillId="9" borderId="1" xfId="6" applyFont="1" applyFill="1" applyAlignment="1">
      <alignment horizontal="left"/>
    </xf>
    <xf numFmtId="0" fontId="31" fillId="0" borderId="1" xfId="6" applyFont="1" applyAlignment="1">
      <alignment horizontal="center"/>
    </xf>
    <xf numFmtId="0" fontId="31" fillId="9" borderId="1" xfId="6" applyFont="1" applyFill="1" applyAlignment="1">
      <alignment horizontal="center"/>
    </xf>
    <xf numFmtId="0" fontId="32" fillId="10" borderId="21" xfId="6" applyFont="1" applyFill="1" applyBorder="1" applyAlignment="1">
      <alignment horizontal="right" vertical="center" indent="1"/>
    </xf>
    <xf numFmtId="0" fontId="32" fillId="10" borderId="59" xfId="6" applyFont="1" applyFill="1" applyBorder="1" applyAlignment="1">
      <alignment horizontal="right" vertical="center" indent="1"/>
    </xf>
    <xf numFmtId="0" fontId="32" fillId="10" borderId="60" xfId="6" applyFont="1" applyFill="1" applyBorder="1" applyAlignment="1">
      <alignment horizontal="right" vertical="center" indent="1"/>
    </xf>
    <xf numFmtId="0" fontId="32" fillId="10" borderId="61" xfId="6" applyFont="1" applyFill="1" applyBorder="1" applyAlignment="1">
      <alignment horizontal="right" vertical="center" indent="1"/>
    </xf>
    <xf numFmtId="0" fontId="32" fillId="10" borderId="28" xfId="6" applyFont="1" applyFill="1" applyBorder="1" applyAlignment="1">
      <alignment horizontal="right" vertical="center" indent="1"/>
    </xf>
    <xf numFmtId="0" fontId="32" fillId="10" borderId="62" xfId="6" applyFont="1" applyFill="1" applyBorder="1" applyAlignment="1">
      <alignment horizontal="right" vertical="center" indent="1"/>
    </xf>
    <xf numFmtId="44" fontId="28" fillId="0" borderId="12" xfId="6" applyNumberFormat="1" applyFont="1" applyBorder="1" applyAlignment="1">
      <alignment horizontal="center"/>
    </xf>
    <xf numFmtId="44" fontId="28" fillId="0" borderId="55" xfId="6" applyNumberFormat="1" applyFont="1" applyBorder="1" applyAlignment="1">
      <alignment horizontal="left"/>
    </xf>
    <xf numFmtId="44" fontId="31" fillId="0" borderId="12" xfId="6" applyNumberFormat="1" applyFont="1" applyBorder="1" applyAlignment="1">
      <alignment horizontal="left"/>
    </xf>
    <xf numFmtId="164" fontId="28" fillId="0" borderId="12" xfId="6" applyNumberFormat="1" applyFont="1" applyBorder="1" applyAlignment="1">
      <alignment horizontal="center"/>
    </xf>
    <xf numFmtId="9" fontId="32" fillId="0" borderId="52" xfId="5" applyFont="1" applyBorder="1" applyAlignment="1">
      <alignment horizontal="center" wrapText="1"/>
    </xf>
    <xf numFmtId="9" fontId="32" fillId="0" borderId="24" xfId="5" applyFont="1" applyBorder="1" applyAlignment="1">
      <alignment horizontal="center" wrapText="1"/>
    </xf>
    <xf numFmtId="0" fontId="32" fillId="0" borderId="52" xfId="6" applyFont="1" applyBorder="1" applyAlignment="1">
      <alignment horizontal="center" wrapText="1"/>
    </xf>
    <xf numFmtId="0" fontId="32" fillId="0" borderId="24" xfId="6" applyFont="1" applyBorder="1" applyAlignment="1">
      <alignment horizontal="center" wrapText="1"/>
    </xf>
    <xf numFmtId="0" fontId="29" fillId="0" borderId="53" xfId="6" applyFont="1" applyBorder="1" applyAlignment="1">
      <alignment horizontal="center"/>
    </xf>
    <xf numFmtId="0" fontId="29" fillId="0" borderId="12" xfId="6" applyFont="1" applyBorder="1" applyAlignment="1">
      <alignment horizontal="left"/>
    </xf>
    <xf numFmtId="44" fontId="53" fillId="0" borderId="12" xfId="6" applyNumberFormat="1" applyFont="1" applyBorder="1" applyAlignment="1">
      <alignment horizontal="left" vertical="center"/>
    </xf>
    <xf numFmtId="0" fontId="1" fillId="2" borderId="2" xfId="3" applyAlignment="1">
      <alignment horizontal="center" wrapText="1"/>
    </xf>
    <xf numFmtId="0" fontId="32" fillId="0" borderId="11" xfId="6" applyFont="1" applyBorder="1" applyAlignment="1">
      <alignment horizontal="center" wrapText="1"/>
    </xf>
    <xf numFmtId="0" fontId="32" fillId="0" borderId="1" xfId="6" applyFont="1" applyAlignment="1">
      <alignment horizontal="center" wrapText="1"/>
    </xf>
    <xf numFmtId="0" fontId="32" fillId="0" borderId="13" xfId="6" applyFont="1" applyBorder="1" applyAlignment="1">
      <alignment horizontal="center" wrapText="1"/>
    </xf>
    <xf numFmtId="0" fontId="32" fillId="0" borderId="54" xfId="6" applyFont="1" applyBorder="1" applyAlignment="1">
      <alignment horizontal="center" wrapText="1"/>
    </xf>
    <xf numFmtId="0" fontId="52" fillId="14" borderId="50" xfId="6" applyFont="1" applyFill="1" applyBorder="1" applyAlignment="1">
      <alignment horizontal="center"/>
    </xf>
    <xf numFmtId="0" fontId="29" fillId="0" borderId="3" xfId="6" applyFont="1" applyBorder="1" applyAlignment="1">
      <alignment horizontal="left"/>
    </xf>
    <xf numFmtId="0" fontId="29" fillId="0" borderId="51" xfId="6" applyFont="1" applyBorder="1" applyAlignment="1">
      <alignment horizontal="left"/>
    </xf>
  </cellXfs>
  <cellStyles count="7">
    <cellStyle name="Comma" xfId="1" builtinId="3"/>
    <cellStyle name="Currency" xfId="2" builtinId="4"/>
    <cellStyle name="Input" xfId="3" builtinId="20"/>
    <cellStyle name="Normal" xfId="0" builtinId="0"/>
    <cellStyle name="Normal 2" xfId="4" xr:uid="{00000000-0005-0000-0000-000004000000}"/>
    <cellStyle name="Normal 2 2" xfId="6" xr:uid="{00000000-0005-0000-0000-000005000000}"/>
    <cellStyle name="Percent" xfId="5" builtinId="5"/>
  </cellStyles>
  <dxfs count="87">
    <dxf>
      <font>
        <color rgb="FF9C0006"/>
      </font>
      <fill>
        <patternFill patternType="solid">
          <fgColor rgb="FFFFC7CE"/>
          <bgColor rgb="FFFFC7CE"/>
        </patternFill>
      </fill>
    </dxf>
    <dxf>
      <font>
        <color rgb="FF9C0006"/>
      </font>
      <fill>
        <patternFill patternType="solid">
          <fgColor rgb="FFFFC7CE"/>
          <bgColor rgb="FFFFC7CE"/>
        </patternFill>
      </fill>
    </dxf>
    <dxf>
      <font>
        <sz val="11"/>
        <name val="Poppins"/>
      </font>
      <protection locked="0"/>
    </dxf>
    <dxf>
      <font>
        <sz val="11"/>
        <name val="Poppins"/>
      </font>
    </dxf>
    <dxf>
      <font>
        <sz val="11"/>
        <name val="Poppins"/>
      </font>
    </dxf>
    <dxf>
      <font>
        <sz val="11"/>
        <name val="Poppins"/>
      </font>
      <protection locked="0"/>
    </dxf>
    <dxf>
      <font>
        <sz val="11"/>
        <name val="Poppins"/>
      </font>
      <protection locked="0"/>
    </dxf>
    <dxf>
      <font>
        <b val="0"/>
        <i val="0"/>
        <sz val="11"/>
        <name val="Poppins"/>
      </font>
      <protection locked="0"/>
    </dxf>
    <dxf>
      <font>
        <sz val="11"/>
        <name val="Poppins"/>
      </font>
      <protection locked="0"/>
    </dxf>
    <dxf>
      <font>
        <b val="0"/>
        <i val="0"/>
        <sz val="11"/>
        <name val="Poppins"/>
      </font>
      <protection locked="0"/>
    </dxf>
    <dxf>
      <font>
        <sz val="11"/>
        <name val="Poppins"/>
      </font>
      <protection locked="0"/>
    </dxf>
    <dxf>
      <font>
        <sz val="11"/>
        <name val="Poppins"/>
      </font>
      <protection locked="0"/>
    </dxf>
    <dxf>
      <font>
        <sz val="11"/>
        <name val="Poppins"/>
      </font>
    </dxf>
    <dxf>
      <font>
        <sz val="11"/>
        <name val="Poppins"/>
      </font>
    </dxf>
    <dxf>
      <font>
        <sz val="11"/>
        <name val="Poppins"/>
      </font>
      <protection locked="0"/>
    </dxf>
    <dxf>
      <font>
        <sz val="11"/>
        <name val="Poppins"/>
      </font>
      <protection locked="0"/>
    </dxf>
    <dxf>
      <font>
        <sz val="11"/>
        <name val="Poppins"/>
      </font>
      <numFmt numFmtId="30" formatCode="@"/>
      <protection locked="0"/>
    </dxf>
    <dxf>
      <font>
        <sz val="11"/>
        <name val="Poppins"/>
      </font>
    </dxf>
    <dxf>
      <font>
        <sz val="11"/>
        <name val="Poppins"/>
      </font>
    </dxf>
    <dxf>
      <font>
        <sz val="11"/>
        <name val="Poppins"/>
      </font>
      <protection locked="0"/>
    </dxf>
    <dxf>
      <font>
        <sz val="11"/>
        <name val="Poppins"/>
      </font>
      <protection locked="0"/>
    </dxf>
    <dxf>
      <font>
        <sz val="11"/>
        <name val="Poppins"/>
      </font>
    </dxf>
    <dxf>
      <font>
        <sz val="11"/>
        <name val="Poppins"/>
      </font>
    </dxf>
    <dxf>
      <font>
        <sz val="11"/>
        <name val="Poppins"/>
      </font>
      <protection locked="0"/>
    </dxf>
    <dxf>
      <font>
        <sz val="11"/>
        <name val="Poppins"/>
      </font>
      <protection locked="0"/>
    </dxf>
    <dxf>
      <font>
        <sz val="11"/>
        <name val="Poppins"/>
      </font>
    </dxf>
    <dxf>
      <font>
        <sz val="11"/>
        <name val="Poppins"/>
      </font>
    </dxf>
    <dxf>
      <font>
        <b/>
        <i val="0"/>
        <sz val="11"/>
        <name val="Poppins"/>
      </font>
      <border>
        <left style="thin">
          <color rgb="FF000000"/>
        </left>
        <right/>
        <top/>
        <bottom/>
      </border>
    </dxf>
    <dxf>
      <font>
        <b/>
        <i val="0"/>
        <sz val="11"/>
        <color rgb="FF0000CC"/>
        <name val="Poppins"/>
      </font>
      <numFmt numFmtId="164" formatCode="_(&quot;$&quot;* #,##0_);_(&quot;$&quot;* \(#,##0\);_(&quot;$&quot;* &quot;-&quot;??_);_(@_)"/>
      <fill>
        <patternFill patternType="solid">
          <fgColor rgb="FFCCE5FF"/>
          <bgColor rgb="FFCCE5FF"/>
        </patternFill>
      </fill>
      <border>
        <left style="thin">
          <color rgb="FF000000"/>
        </left>
        <right/>
        <top/>
        <bottom/>
      </border>
    </dxf>
    <dxf>
      <font>
        <b/>
        <i val="0"/>
        <sz val="11"/>
        <name val="Poppins"/>
      </font>
      <numFmt numFmtId="164" formatCode="_(&quot;$&quot;* #,##0_);_(&quot;$&quot;* \(#,##0\);_(&quot;$&quot;* &quot;-&quot;??_);_(@_)"/>
      <border>
        <left style="thin">
          <color rgb="FF000000"/>
        </left>
        <right/>
        <top/>
        <bottom/>
      </border>
    </dxf>
    <dxf>
      <font>
        <b/>
        <i val="0"/>
        <sz val="11"/>
        <name val="Poppins"/>
      </font>
      <numFmt numFmtId="164" formatCode="_(&quot;$&quot;* #,##0_);_(&quot;$&quot;* \(#,##0\);_(&quot;$&quot;* &quot;-&quot;??_);_(@_)"/>
      <border>
        <right style="thin">
          <color rgb="FF000000"/>
        </right>
      </border>
    </dxf>
    <dxf>
      <font>
        <b/>
        <i val="0"/>
        <sz val="11"/>
        <name val="Poppins"/>
      </font>
      <numFmt numFmtId="164" formatCode="_(&quot;$&quot;* #,##0_);_(&quot;$&quot;* \(#,##0\);_(&quot;$&quot;* &quot;-&quot;??_);_(@_)"/>
    </dxf>
    <dxf>
      <font>
        <b/>
        <i val="0"/>
        <sz val="11"/>
        <name val="Poppins"/>
      </font>
      <numFmt numFmtId="164" formatCode="_(&quot;$&quot;* #,##0_);_(&quot;$&quot;* \(#,##0\);_(&quot;$&quot;* &quot;-&quot;??_);_(@_)"/>
      <fill>
        <patternFill patternType="solid">
          <fgColor theme="5" tint="0.79998168889431442"/>
          <bgColor theme="5" tint="0.79998168889431442"/>
        </patternFill>
      </fill>
    </dxf>
    <dxf>
      <font>
        <b/>
        <i val="0"/>
        <sz val="11"/>
        <name val="Poppins"/>
      </font>
      <numFmt numFmtId="34" formatCode="_(&quot;$&quot;* #,##0.00_);_(&quot;$&quot;* \(#,##0.00\);_(&quot;$&quot;* &quot;-&quot;??_);_(@_)"/>
      <border>
        <left/>
        <right style="thin">
          <color rgb="FF000000"/>
        </right>
        <top/>
        <bottom/>
      </border>
    </dxf>
    <dxf>
      <font>
        <b/>
        <i val="0"/>
        <sz val="11"/>
        <name val="Poppins"/>
      </font>
      <numFmt numFmtId="34" formatCode="_(&quot;$&quot;* #,##0.00_);_(&quot;$&quot;* \(#,##0.00\);_(&quot;$&quot;* &quot;-&quot;??_);_(@_)"/>
      <fill>
        <patternFill patternType="solid">
          <fgColor theme="9" tint="0.59999389629810485"/>
          <bgColor theme="9" tint="0.59999389629810485"/>
        </patternFill>
      </fill>
      <border>
        <left/>
        <right style="thin">
          <color rgb="FF000000"/>
        </right>
        <top/>
        <bottom/>
      </border>
    </dxf>
    <dxf>
      <font>
        <b/>
        <i val="0"/>
        <sz val="11"/>
        <name val="Poppins"/>
      </font>
      <numFmt numFmtId="164" formatCode="_(&quot;$&quot;* #,##0_);_(&quot;$&quot;* \(#,##0\);_(&quot;$&quot;* &quot;-&quot;??_);_(@_)"/>
      <border>
        <left style="thin">
          <color rgb="FF000000"/>
        </left>
        <right/>
        <top/>
        <bottom/>
      </border>
    </dxf>
    <dxf>
      <font>
        <b/>
        <i val="0"/>
        <sz val="11"/>
        <name val="Poppins"/>
      </font>
      <numFmt numFmtId="164" formatCode="_(&quot;$&quot;* #,##0_);_(&quot;$&quot;* \(#,##0\);_(&quot;$&quot;* &quot;-&quot;??_);_(@_)"/>
      <fill>
        <patternFill patternType="solid">
          <fgColor theme="9" tint="0.59999389629810485"/>
          <bgColor theme="9" tint="0.59999389629810485"/>
        </patternFill>
      </fill>
      <border>
        <left style="thin">
          <color rgb="FF000000"/>
        </left>
        <right/>
        <top/>
        <bottom/>
      </border>
    </dxf>
    <dxf>
      <font>
        <b/>
        <i val="0"/>
        <sz val="11"/>
        <name val="Poppins"/>
      </font>
      <numFmt numFmtId="164" formatCode="_(&quot;$&quot;* #,##0_);_(&quot;$&quot;* \(#,##0\);_(&quot;$&quot;* &quot;-&quot;??_);_(@_)"/>
    </dxf>
    <dxf>
      <font>
        <b/>
        <i val="0"/>
        <sz val="11"/>
        <name val="Poppins"/>
      </font>
      <numFmt numFmtId="164" formatCode="_(&quot;$&quot;* #,##0_);_(&quot;$&quot;* \(#,##0\);_(&quot;$&quot;* &quot;-&quot;??_);_(@_)"/>
    </dxf>
    <dxf>
      <font>
        <b/>
        <i val="0"/>
        <sz val="11"/>
        <name val="Poppins"/>
      </font>
      <numFmt numFmtId="164" formatCode="_(&quot;$&quot;* #,##0_);_(&quot;$&quot;* \(#,##0\);_(&quot;$&quot;* &quot;-&quot;??_);_(@_)"/>
    </dxf>
    <dxf>
      <font>
        <b/>
        <i val="0"/>
        <sz val="11"/>
        <name val="Poppins"/>
      </font>
      <numFmt numFmtId="164" formatCode="_(&quot;$&quot;* #,##0_);_(&quot;$&quot;* \(#,##0\);_(&quot;$&quot;* &quot;-&quot;??_);_(@_)"/>
    </dxf>
    <dxf>
      <font>
        <b/>
        <i val="0"/>
        <sz val="11"/>
        <name val="Poppins"/>
      </font>
      <numFmt numFmtId="34" formatCode="_(&quot;$&quot;* #,##0.00_);_(&quot;$&quot;* \(#,##0.00\);_(&quot;$&quot;* &quot;-&quot;??_);_(@_)"/>
      <border>
        <left/>
        <right style="thin">
          <color rgb="FF000000"/>
        </right>
        <top/>
        <bottom/>
      </border>
    </dxf>
    <dxf>
      <font>
        <b/>
        <i val="0"/>
        <sz val="11"/>
        <name val="Poppins"/>
      </font>
      <numFmt numFmtId="34" formatCode="_(&quot;$&quot;* #,##0.00_);_(&quot;$&quot;* \(#,##0.00\);_(&quot;$&quot;* &quot;-&quot;??_);_(@_)"/>
      <fill>
        <patternFill patternType="solid">
          <fgColor theme="0" tint="-0.14999847407452621"/>
          <bgColor theme="0" tint="-0.14999847407452621"/>
        </patternFill>
      </fill>
      <border>
        <left/>
        <right style="thin">
          <color rgb="FF000000"/>
        </right>
        <top/>
        <bottom/>
      </border>
    </dxf>
    <dxf>
      <font>
        <b/>
        <i val="0"/>
        <sz val="11"/>
        <name val="Poppins"/>
      </font>
      <numFmt numFmtId="164" formatCode="_(&quot;$&quot;* #,##0_);_(&quot;$&quot;* \(#,##0\);_(&quot;$&quot;* &quot;-&quot;??_);_(@_)"/>
      <border>
        <left style="thin">
          <color rgb="FF000000"/>
        </left>
        <right/>
        <top/>
        <bottom/>
      </border>
    </dxf>
    <dxf>
      <font>
        <b/>
        <i val="0"/>
        <sz val="11"/>
        <name val="Poppins"/>
      </font>
      <numFmt numFmtId="164" formatCode="_(&quot;$&quot;* #,##0_);_(&quot;$&quot;* \(#,##0\);_(&quot;$&quot;* &quot;-&quot;??_);_(@_)"/>
      <fill>
        <patternFill patternType="solid">
          <fgColor theme="0" tint="-0.14999847407452621"/>
          <bgColor theme="0" tint="-0.14999847407452621"/>
        </patternFill>
      </fill>
      <border>
        <left style="thin">
          <color rgb="FF000000"/>
        </left>
        <right/>
        <top/>
        <bottom/>
      </border>
    </dxf>
    <dxf>
      <font>
        <b/>
        <i val="0"/>
        <sz val="11"/>
        <name val="Poppins"/>
      </font>
      <numFmt numFmtId="164" formatCode="_(&quot;$&quot;* #,##0_);_(&quot;$&quot;* \(#,##0\);_(&quot;$&quot;* &quot;-&quot;??_);_(@_)"/>
    </dxf>
    <dxf>
      <font>
        <b/>
        <i val="0"/>
        <sz val="11"/>
        <name val="Poppins"/>
      </font>
      <numFmt numFmtId="164" formatCode="_(&quot;$&quot;* #,##0_);_(&quot;$&quot;* \(#,##0\);_(&quot;$&quot;* &quot;-&quot;??_);_(@_)"/>
    </dxf>
    <dxf>
      <font>
        <b/>
        <i val="0"/>
        <sz val="11"/>
        <name val="Poppins"/>
      </font>
      <numFmt numFmtId="164" formatCode="_(&quot;$&quot;* #,##0_);_(&quot;$&quot;* \(#,##0\);_(&quot;$&quot;* &quot;-&quot;??_);_(@_)"/>
      <border>
        <left style="thin">
          <color rgb="FF000000"/>
        </left>
        <right/>
        <top/>
        <bottom/>
      </border>
    </dxf>
    <dxf>
      <font>
        <b/>
        <i val="0"/>
        <sz val="11"/>
        <name val="Poppins"/>
      </font>
      <numFmt numFmtId="164" formatCode="_(&quot;$&quot;* #,##0_);_(&quot;$&quot;* \(#,##0\);_(&quot;$&quot;* &quot;-&quot;??_);_(@_)"/>
    </dxf>
    <dxf>
      <font>
        <b val="0"/>
        <i val="0"/>
        <sz val="11"/>
        <color theme="0"/>
        <name val="Poppins"/>
      </font>
      <fill>
        <patternFill patternType="solid">
          <fgColor rgb="FF58585A"/>
          <bgColor rgb="FF58585A"/>
        </patternFill>
      </fill>
    </dxf>
    <dxf>
      <font>
        <b/>
        <sz val="11"/>
        <color theme="0"/>
        <name val="Poppins"/>
      </font>
      <fill>
        <patternFill patternType="solid">
          <fgColor rgb="FF58585A"/>
          <bgColor rgb="FF58585A"/>
        </patternFill>
      </fill>
    </dxf>
    <dxf>
      <font>
        <sz val="11"/>
        <name val="Poppins"/>
      </font>
    </dxf>
    <dxf>
      <font>
        <sz val="11"/>
        <name val="Poppins"/>
      </font>
    </dxf>
    <dxf>
      <font>
        <b/>
        <sz val="12"/>
        <name val="Poppins"/>
      </font>
    </dxf>
    <dxf>
      <font>
        <b/>
        <i val="0"/>
        <sz val="11"/>
        <color theme="0"/>
        <name val="Poppins"/>
      </font>
      <fill>
        <patternFill patternType="solid">
          <fgColor rgb="FF58585A"/>
          <bgColor rgb="FF58585A"/>
        </patternFill>
      </fill>
      <border>
        <left style="thin">
          <color rgb="FF000000"/>
        </left>
        <right/>
        <top/>
        <bottom/>
      </border>
      <protection locked="0"/>
    </dxf>
    <dxf>
      <font>
        <b/>
        <sz val="11"/>
        <color rgb="FF0000CC"/>
        <name val="Poppins"/>
      </font>
      <numFmt numFmtId="30" formatCode="@"/>
      <fill>
        <patternFill patternType="solid">
          <fgColor rgb="FFCCE5FF"/>
          <bgColor rgb="FFCCE5FF"/>
        </patternFill>
      </fill>
      <border>
        <left style="thin">
          <color rgb="FF000000"/>
        </left>
        <right/>
        <top/>
        <bottom/>
      </border>
      <protection locked="0"/>
    </dxf>
    <dxf>
      <font>
        <b/>
        <i val="0"/>
        <sz val="11"/>
        <color theme="0"/>
        <name val="Poppins"/>
      </font>
      <fill>
        <patternFill patternType="solid">
          <fgColor rgb="FF58585A"/>
          <bgColor rgb="FF58585A"/>
        </patternFill>
      </fill>
      <alignment horizontal="center" textRotation="0" wrapText="0" indent="0" shrinkToFit="0"/>
      <border>
        <left/>
        <right style="thin">
          <color rgb="FF000000"/>
        </right>
        <top/>
        <bottom/>
      </border>
      <protection locked="0"/>
    </dxf>
    <dxf>
      <font>
        <b/>
        <sz val="11"/>
        <color rgb="FF0000CC"/>
        <name val="Poppins"/>
      </font>
      <fill>
        <patternFill patternType="solid">
          <fgColor rgb="FFCCE5FF"/>
          <bgColor rgb="FFCCE5FF"/>
        </patternFill>
      </fill>
      <alignment horizontal="center" textRotation="0" wrapText="0" indent="0" shrinkToFit="0"/>
      <border>
        <right style="thin">
          <color rgb="FF000000"/>
        </right>
      </border>
      <protection locked="0"/>
    </dxf>
    <dxf>
      <font>
        <b/>
        <i val="0"/>
        <sz val="11"/>
        <color theme="0"/>
        <name val="Poppins"/>
      </font>
      <numFmt numFmtId="164" formatCode="_(&quot;$&quot;* #,##0_);_(&quot;$&quot;* \(#,##0\);_(&quot;$&quot;* &quot;-&quot;??_);_(@_)"/>
      <fill>
        <patternFill patternType="solid">
          <fgColor rgb="FF58585A"/>
          <bgColor rgb="FF58585A"/>
        </patternFill>
      </fill>
      <protection locked="0"/>
    </dxf>
    <dxf>
      <font>
        <b/>
        <i val="0"/>
        <sz val="11"/>
        <color rgb="FF0000CC"/>
        <name val="Poppins"/>
      </font>
      <numFmt numFmtId="164" formatCode="_(&quot;$&quot;* #,##0_);_(&quot;$&quot;* \(#,##0\);_(&quot;$&quot;* &quot;-&quot;??_);_(@_)"/>
      <fill>
        <patternFill patternType="solid">
          <fgColor rgb="FFCCE5FF"/>
          <bgColor rgb="FFCCE5FF"/>
        </patternFill>
      </fill>
      <protection locked="0"/>
    </dxf>
    <dxf>
      <font>
        <b/>
        <i val="0"/>
        <sz val="11"/>
        <color theme="0"/>
        <name val="Poppins"/>
      </font>
      <numFmt numFmtId="164" formatCode="_(&quot;$&quot;* #,##0_);_(&quot;$&quot;* \(#,##0\);_(&quot;$&quot;* &quot;-&quot;??_);_(@_)"/>
      <fill>
        <patternFill patternType="solid">
          <fgColor rgb="FF58585A"/>
          <bgColor rgb="FF58585A"/>
        </patternFill>
      </fill>
      <protection locked="0"/>
    </dxf>
    <dxf>
      <font>
        <b/>
        <i val="0"/>
        <sz val="11"/>
        <color rgb="FF0000CC"/>
        <name val="Poppins"/>
      </font>
      <numFmt numFmtId="164" formatCode="_(&quot;$&quot;* #,##0_);_(&quot;$&quot;* \(#,##0\);_(&quot;$&quot;* &quot;-&quot;??_);_(@_)"/>
      <fill>
        <patternFill patternType="solid">
          <fgColor rgb="FFCCE5FF"/>
          <bgColor rgb="FFCCE5FF"/>
        </patternFill>
      </fill>
      <protection locked="0"/>
    </dxf>
    <dxf>
      <font>
        <b/>
        <i val="0"/>
        <sz val="11"/>
        <color theme="0"/>
        <name val="Poppins"/>
      </font>
      <fill>
        <patternFill patternType="solid">
          <fgColor rgb="FF58585A"/>
          <bgColor rgb="FF58585A"/>
        </patternFill>
      </fill>
      <protection locked="0"/>
    </dxf>
    <dxf>
      <font>
        <b/>
        <sz val="11"/>
        <color rgb="FF0000CC"/>
        <name val="Poppins"/>
      </font>
      <fill>
        <patternFill patternType="solid">
          <fgColor rgb="FFCCE5FF"/>
          <bgColor rgb="FFCCE5FF"/>
        </patternFill>
      </fill>
      <protection locked="0"/>
    </dxf>
    <dxf>
      <font>
        <b/>
        <i val="0"/>
        <sz val="11"/>
        <color theme="0"/>
        <name val="Poppins"/>
      </font>
      <fill>
        <patternFill patternType="solid">
          <fgColor rgb="FF58585A"/>
          <bgColor rgb="FF58585A"/>
        </patternFill>
      </fill>
      <protection locked="0"/>
    </dxf>
    <dxf>
      <font>
        <b/>
        <sz val="11"/>
        <color rgb="FF0000CC"/>
        <name val="Poppins"/>
      </font>
      <fill>
        <patternFill patternType="solid">
          <fgColor rgb="FFCCE5FF"/>
          <bgColor rgb="FFCCE5FF"/>
        </patternFill>
      </fill>
      <protection locked="0"/>
    </dxf>
    <dxf>
      <font>
        <sz val="11"/>
        <color theme="0"/>
        <name val="Poppins"/>
      </font>
      <fill>
        <patternFill patternType="solid">
          <fgColor rgb="FF58585A"/>
          <bgColor rgb="FF58585A"/>
        </patternFill>
      </fill>
    </dxf>
    <dxf>
      <font>
        <b/>
        <sz val="11"/>
        <color rgb="FF000000"/>
        <name val="Poppins"/>
      </font>
      <fill>
        <patternFill patternType="solid">
          <fgColor rgb="FFCCE5FF"/>
          <bgColor rgb="FFCCE5FF"/>
        </patternFill>
      </fill>
    </dxf>
    <dxf>
      <font>
        <b/>
        <sz val="11"/>
        <name val="Poppins"/>
      </font>
    </dxf>
    <dxf>
      <font>
        <b/>
        <sz val="11"/>
        <color rgb="FF0000CC"/>
        <name val="Poppins"/>
      </font>
      <fill>
        <patternFill patternType="solid">
          <fgColor rgb="FFCCE5FF"/>
          <bgColor rgb="FFCCE5FF"/>
        </patternFill>
      </fill>
      <alignment textRotation="0" wrapText="1" indent="0" shrinkToFit="0"/>
      <border>
        <left style="thin">
          <color rgb="FF000000"/>
        </left>
        <right/>
        <top/>
        <bottom/>
      </border>
      <protection locked="0"/>
    </dxf>
    <dxf>
      <font>
        <b/>
        <sz val="11"/>
        <name val="Poppins"/>
      </font>
      <fill>
        <patternFill patternType="solid">
          <fgColor rgb="FFCCE5FF"/>
          <bgColor rgb="FFCCE5FF"/>
        </patternFill>
      </fill>
      <border>
        <right style="thin">
          <color rgb="FF000000"/>
        </right>
      </border>
      <protection locked="0"/>
    </dxf>
    <dxf>
      <font>
        <b/>
        <i val="0"/>
        <sz val="11"/>
        <name val="Poppins"/>
      </font>
      <numFmt numFmtId="164" formatCode="_(&quot;$&quot;* #,##0_);_(&quot;$&quot;* \(#,##0\);_(&quot;$&quot;* &quot;-&quot;??_);_(@_)"/>
      <fill>
        <patternFill patternType="solid">
          <fgColor rgb="FFCCE5FF"/>
          <bgColor rgb="FFCCE5FF"/>
        </patternFill>
      </fill>
      <protection locked="0"/>
    </dxf>
    <dxf>
      <font>
        <b/>
        <i val="0"/>
        <sz val="11"/>
        <name val="Poppins"/>
      </font>
      <numFmt numFmtId="164" formatCode="_(&quot;$&quot;* #,##0_);_(&quot;$&quot;* \(#,##0\);_(&quot;$&quot;* &quot;-&quot;??_);_(@_)"/>
      <fill>
        <patternFill patternType="solid">
          <fgColor rgb="FFCCE5FF"/>
          <bgColor rgb="FFCCE5FF"/>
        </patternFill>
      </fill>
      <protection locked="0"/>
    </dxf>
    <dxf>
      <font>
        <b/>
        <sz val="11"/>
        <color rgb="FF0000CC"/>
        <name val="Poppins"/>
      </font>
      <fill>
        <patternFill patternType="solid">
          <fgColor rgb="FFCCE5FF"/>
          <bgColor rgb="FFCCE5FF"/>
        </patternFill>
      </fill>
      <protection locked="0"/>
    </dxf>
    <dxf>
      <font>
        <b/>
        <sz val="11"/>
        <color rgb="FF0000CC"/>
        <name val="Poppins"/>
      </font>
      <fill>
        <patternFill patternType="solid">
          <fgColor rgb="FFCCE5FF"/>
          <bgColor rgb="FFCCE5FF"/>
        </patternFill>
      </fill>
      <protection locked="0"/>
    </dxf>
    <dxf>
      <font>
        <b/>
        <sz val="11"/>
        <name val="Poppins"/>
      </font>
      <fill>
        <patternFill patternType="solid">
          <fgColor rgb="FFCCE5FF"/>
          <bgColor rgb="FFCCE5FF"/>
        </patternFill>
      </fill>
      <alignment horizontal="left" textRotation="0" wrapText="0" shrinkToFit="0"/>
      <protection locked="0"/>
    </dxf>
    <dxf>
      <font>
        <b/>
        <sz val="11"/>
        <name val="Poppins"/>
      </font>
      <fill>
        <patternFill patternType="solid">
          <fgColor rgb="FFCCE5FF"/>
          <bgColor rgb="FFCCE5FF"/>
        </patternFill>
      </fill>
    </dxf>
    <dxf>
      <font>
        <b/>
        <sz val="11"/>
        <name val="Poppins"/>
      </font>
    </dxf>
    <dxf>
      <border>
        <left style="thin">
          <color theme="4"/>
        </left>
      </border>
    </dxf>
    <dxf>
      <border>
        <left style="thin">
          <color theme="4"/>
        </left>
      </border>
    </dxf>
    <dxf>
      <border>
        <top style="thin">
          <color theme="4"/>
        </top>
      </border>
    </dxf>
    <dxf>
      <border>
        <top style="thin">
          <color theme="4"/>
        </top>
      </border>
    </dxf>
    <dxf>
      <font>
        <b/>
        <color theme="1"/>
      </font>
    </dxf>
    <dxf>
      <font>
        <b/>
        <color theme="1"/>
      </font>
    </dxf>
    <dxf>
      <font>
        <color theme="1"/>
      </font>
      <border>
        <left style="thin">
          <color theme="4"/>
        </left>
        <right style="thin">
          <color theme="4"/>
        </right>
        <top style="thin">
          <color theme="4"/>
        </top>
        <bottom style="thin">
          <color theme="4"/>
        </bottom>
      </border>
    </dxf>
    <dxf>
      <font>
        <color theme="0"/>
      </font>
      <fill>
        <patternFill patternType="solid">
          <fgColor rgb="FF58585A"/>
          <bgColor rgb="FF58585A"/>
        </patternFill>
      </fill>
      <border>
        <left style="medium">
          <color rgb="FF00304D"/>
        </left>
        <right style="medium">
          <color rgb="FF00304D"/>
        </right>
        <top style="double">
          <color theme="4"/>
        </top>
        <bottom style="medium">
          <color rgb="FF00304D"/>
        </bottom>
      </border>
    </dxf>
    <dxf>
      <font>
        <color theme="0"/>
      </font>
      <fill>
        <patternFill patternType="solid">
          <fgColor rgb="FF00304D"/>
          <bgColor rgb="FF00304D"/>
        </patternFill>
      </fill>
    </dxf>
  </dxfs>
  <tableStyles count="1" defaultTableStyle="TableStyleLight9 2" defaultPivotStyle="PivotStyleLight16">
    <tableStyle name="TableStyleLight9 2" pivot="0" count="9" xr9:uid="{00000000-0011-0000-FFFF-FFFF00000000}">
      <tableStyleElement type="wholeTable" dxfId="84"/>
      <tableStyleElement type="headerRow" dxfId="86"/>
      <tableStyleElement type="totalRow" dxfId="85"/>
      <tableStyleElement type="firstColumn" dxfId="82"/>
      <tableStyleElement type="lastColumn" dxfId="83"/>
      <tableStyleElement type="firstRowStripe" dxfId="81"/>
      <tableStyleElement type="secondRowStripe" dxfId="80"/>
      <tableStyleElement type="firstColumnStripe" dxfId="79"/>
      <tableStyleElement type="secondColumnStripe" dxfId="7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olapFunctions">
    <main first="ThisWorkbookDataModel">
      <tp t="e">
        <v>#N/A</v>
        <stp>1</stp>
        <tr r="L8" s="7"/>
        <tr r="L9" s="7"/>
        <tr r="L10" s="7"/>
        <tr r="L11" s="7"/>
        <tr r="L12" s="7"/>
        <tr r="L13" s="7"/>
        <tr r="L14" s="7"/>
        <tr r="L15" s="7"/>
        <tr r="L16" s="7"/>
        <tr r="L17" s="7"/>
        <tr r="L19" s="7"/>
        <tr r="L21" s="7"/>
        <tr r="L22" s="7"/>
        <tr r="L23" s="7"/>
        <tr r="L24" s="7"/>
        <tr r="L25" s="7"/>
        <tr r="L26" s="7"/>
        <tr r="L27" s="7"/>
        <tr r="L28" s="7"/>
        <tr r="L29" s="7"/>
        <tr r="L30" s="7"/>
        <tr r="L31" s="7"/>
        <tr r="L32" s="7"/>
        <tr r="L18" s="7"/>
        <tr r="L34" s="7"/>
        <tr r="L38" s="7"/>
        <tr r="L40" s="7"/>
        <tr r="L41" s="7"/>
        <tr r="L42" s="7"/>
        <tr r="L43" s="7"/>
        <tr r="L44" s="7"/>
        <tr r="L45" s="7"/>
        <tr r="L46" s="7"/>
        <tr r="L47" s="7"/>
        <tr r="L48" s="7"/>
        <tr r="L20" s="7"/>
        <tr r="L33" s="7"/>
        <tr r="L36" s="7"/>
        <tr r="L39" s="7"/>
        <tr r="L50" s="7"/>
        <tr r="L51" s="7"/>
        <tr r="L53" s="7"/>
        <tr r="L60" s="7"/>
        <tr r="L61" s="7"/>
        <tr r="L63" s="7"/>
        <tr r="L35" s="7"/>
        <tr r="L37" s="7"/>
        <tr r="L49" s="7"/>
        <tr r="L52" s="7"/>
        <tr r="L54" s="7"/>
        <tr r="L55" s="7"/>
        <tr r="L56" s="7"/>
        <tr r="L57" s="7"/>
        <tr r="L58" s="7"/>
        <tr r="L59" s="7"/>
        <tr r="L62" s="7"/>
        <tr r="B59" s="7"/>
        <tr r="B48" s="7"/>
        <tr r="B49" s="7"/>
        <tr r="B50" s="7"/>
        <tr r="B51" s="7"/>
        <tr r="B52" s="7"/>
        <tr r="B53" s="7"/>
        <tr r="B54" s="7"/>
        <tr r="B55" s="7"/>
        <tr r="B56" s="7"/>
        <tr r="B57" s="7"/>
        <tr r="B58" s="7"/>
        <tr r="B60" s="7"/>
        <tr r="B61" s="7"/>
        <tr r="B62" s="7"/>
        <tr r="B63" s="7"/>
        <tr r="C8" s="5"/>
        <tr r="B8" s="7"/>
        <tr r="B9" s="7"/>
        <tr r="B10" s="7"/>
        <tr r="B11" s="7"/>
        <tr r="B12" s="7"/>
        <tr r="B13" s="7"/>
        <tr r="B14" s="7"/>
        <tr r="B15" s="7"/>
        <tr r="B16" s="7"/>
        <tr r="B17" s="7"/>
        <tr r="B18" s="7"/>
        <tr r="B19" s="7"/>
        <tr r="B20" s="7"/>
        <tr r="B21" s="7"/>
        <tr r="B22" s="7"/>
        <tr r="B23" s="7"/>
        <tr r="B24" s="7"/>
        <tr r="B25" s="7"/>
        <tr r="B26" s="7"/>
        <tr r="B27" s="7"/>
        <tr r="B28" s="7"/>
        <tr r="B29" s="7"/>
        <tr r="B30" s="7"/>
        <tr r="B31" s="7"/>
        <tr r="B32" s="7"/>
        <tr r="B33" s="7"/>
        <tr r="B34" s="7"/>
        <tr r="B35" s="7"/>
        <tr r="B36" s="7"/>
        <tr r="B37" s="7"/>
        <tr r="B38" s="7"/>
        <tr r="B39" s="7"/>
        <tr r="B40" s="7"/>
        <tr r="B41" s="7"/>
        <tr r="B42" s="7"/>
        <tr r="B43" s="7"/>
        <tr r="B44" s="7"/>
        <tr r="B45" s="7"/>
        <tr r="B46" s="7"/>
        <tr r="B47" s="7"/>
        <tr r="I10" s="5"/>
        <tr r="I14" s="5"/>
        <tr r="I17" s="5"/>
        <tr r="I19" s="5"/>
        <tr r="I21" s="5"/>
        <tr r="L22" s="5"/>
        <tr r="I24" s="5"/>
        <tr r="I9" s="5"/>
        <tr r="I11" s="5"/>
        <tr r="I12" s="5"/>
        <tr r="I13" s="5"/>
        <tr r="I15" s="5"/>
        <tr r="I16" s="5"/>
        <tr r="I18" s="5"/>
        <tr r="I20" s="5"/>
        <tr r="I22" s="5"/>
        <tr r="I23" s="5"/>
        <tr r="I25" s="5"/>
        <tr r="V2" s="8"/>
      </tp>
    </main>
  </volType>
</volType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volatileDependencies" Target="volatileDependenci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1096645</xdr:colOff>
      <xdr:row>0</xdr:row>
      <xdr:rowOff>31750</xdr:rowOff>
    </xdr:from>
    <xdr:to>
      <xdr:col>5</xdr:col>
      <xdr:colOff>43815</xdr:colOff>
      <xdr:row>2</xdr:row>
      <xdr:rowOff>264011</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rcRect/>
        <a:stretch/>
      </xdr:blipFill>
      <xdr:spPr>
        <a:xfrm>
          <a:off x="8811895" y="31750"/>
          <a:ext cx="2201545" cy="1819761"/>
        </a:xfrm>
        <a:prstGeom prst="rect">
          <a:avLst/>
        </a:prstGeom>
        <a:noFill/>
        <a:ln cmpd="sng">
          <a:noFill/>
        </a:ln>
      </xdr:spPr>
    </xdr:pic>
    <xdr:clientData/>
  </xdr:twoCellAnchor>
  <xdr:twoCellAnchor editAs="oneCell">
    <xdr:from>
      <xdr:col>2</xdr:col>
      <xdr:colOff>317500</xdr:colOff>
      <xdr:row>7</xdr:row>
      <xdr:rowOff>12804</xdr:rowOff>
    </xdr:from>
    <xdr:to>
      <xdr:col>4</xdr:col>
      <xdr:colOff>601327</xdr:colOff>
      <xdr:row>11</xdr:row>
      <xdr:rowOff>1603375</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2"/>
        <a:srcRect/>
        <a:stretch/>
      </xdr:blipFill>
      <xdr:spPr>
        <a:xfrm>
          <a:off x="7413625" y="3759304"/>
          <a:ext cx="3379452" cy="3384446"/>
        </a:xfrm>
        <a:prstGeom prst="rect">
          <a:avLst/>
        </a:prstGeom>
        <a:noFill/>
        <a:ln cmpd="sng">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542926</xdr:colOff>
      <xdr:row>0</xdr:row>
      <xdr:rowOff>0</xdr:rowOff>
    </xdr:from>
    <xdr:to>
      <xdr:col>14</xdr:col>
      <xdr:colOff>38101</xdr:colOff>
      <xdr:row>3</xdr:row>
      <xdr:rowOff>3810</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rcRect/>
        <a:stretch/>
      </xdr:blipFill>
      <xdr:spPr>
        <a:xfrm>
          <a:off x="14954251" y="0"/>
          <a:ext cx="1600200" cy="1270635"/>
        </a:xfrm>
        <a:prstGeom prst="rect">
          <a:avLst/>
        </a:prstGeom>
        <a:noFill/>
        <a:ln cmpd="sng">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3856719</xdr:colOff>
      <xdr:row>0</xdr:row>
      <xdr:rowOff>0</xdr:rowOff>
    </xdr:from>
    <xdr:to>
      <xdr:col>8</xdr:col>
      <xdr:colOff>269785</xdr:colOff>
      <xdr:row>4</xdr:row>
      <xdr:rowOff>334552</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rcRect/>
        <a:stretch/>
      </xdr:blipFill>
      <xdr:spPr>
        <a:xfrm>
          <a:off x="16485748" y="0"/>
          <a:ext cx="1937566" cy="1589611"/>
        </a:xfrm>
        <a:prstGeom prst="rect">
          <a:avLst/>
        </a:prstGeom>
        <a:noFill/>
        <a:ln cmpd="sng">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829236</xdr:colOff>
      <xdr:row>0</xdr:row>
      <xdr:rowOff>0</xdr:rowOff>
    </xdr:from>
    <xdr:to>
      <xdr:col>13</xdr:col>
      <xdr:colOff>147918</xdr:colOff>
      <xdr:row>7</xdr:row>
      <xdr:rowOff>33449</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rcRect/>
        <a:stretch/>
      </xdr:blipFill>
      <xdr:spPr>
        <a:xfrm>
          <a:off x="18153530" y="0"/>
          <a:ext cx="2310653" cy="1860008"/>
        </a:xfrm>
        <a:prstGeom prst="rect">
          <a:avLst/>
        </a:prstGeom>
        <a:noFill/>
        <a:ln cmpd="sng">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1563035</xdr:colOff>
      <xdr:row>0</xdr:row>
      <xdr:rowOff>0</xdr:rowOff>
    </xdr:from>
    <xdr:to>
      <xdr:col>6</xdr:col>
      <xdr:colOff>3661075</xdr:colOff>
      <xdr:row>7</xdr:row>
      <xdr:rowOff>246894</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rcRect/>
        <a:stretch/>
      </xdr:blipFill>
      <xdr:spPr>
        <a:xfrm>
          <a:off x="13250770" y="0"/>
          <a:ext cx="2098040" cy="1636424"/>
        </a:xfrm>
        <a:prstGeom prst="rect">
          <a:avLst/>
        </a:prstGeom>
        <a:noFill/>
        <a:ln cmpd="sng">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12</xdr:col>
      <xdr:colOff>3413125</xdr:colOff>
      <xdr:row>0</xdr:row>
      <xdr:rowOff>0</xdr:rowOff>
    </xdr:from>
    <xdr:to>
      <xdr:col>14</xdr:col>
      <xdr:colOff>79375</xdr:colOff>
      <xdr:row>7</xdr:row>
      <xdr:rowOff>2697</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rcRect/>
        <a:stretch/>
      </xdr:blipFill>
      <xdr:spPr>
        <a:xfrm>
          <a:off x="20109089" y="0"/>
          <a:ext cx="2272393" cy="1839661"/>
        </a:xfrm>
        <a:prstGeom prst="rect">
          <a:avLst/>
        </a:prstGeom>
        <a:noFill/>
        <a:ln cmpd="sng">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219075</xdr:colOff>
      <xdr:row>0</xdr:row>
      <xdr:rowOff>28575</xdr:rowOff>
    </xdr:from>
    <xdr:to>
      <xdr:col>1</xdr:col>
      <xdr:colOff>640080</xdr:colOff>
      <xdr:row>2</xdr:row>
      <xdr:rowOff>43815</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rcRect/>
        <a:stretch/>
      </xdr:blipFill>
      <xdr:spPr>
        <a:xfrm>
          <a:off x="219075" y="28575"/>
          <a:ext cx="1859280" cy="443865"/>
        </a:xfrm>
        <a:prstGeom prst="rect">
          <a:avLst/>
        </a:prstGeom>
        <a:noFill/>
        <a:ln cmpd="sng">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294714</xdr:colOff>
      <xdr:row>0</xdr:row>
      <xdr:rowOff>162486</xdr:rowOff>
    </xdr:from>
    <xdr:to>
      <xdr:col>3</xdr:col>
      <xdr:colOff>379182</xdr:colOff>
      <xdr:row>3</xdr:row>
      <xdr:rowOff>149263</xdr:rowOff>
    </xdr:to>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rcRect/>
        <a:stretch/>
      </xdr:blipFill>
      <xdr:spPr>
        <a:xfrm>
          <a:off x="294714" y="162486"/>
          <a:ext cx="1877409" cy="625512"/>
        </a:xfrm>
        <a:prstGeom prst="rect">
          <a:avLst/>
        </a:prstGeom>
        <a:noFill/>
        <a:ln cmpd="sng">
          <a:noFill/>
        </a:ln>
      </xdr:spPr>
    </xdr:pic>
    <xdr:clientData/>
  </xdr:twoCellAnchor>
  <xdr:twoCellAnchor editAs="oneCell">
    <xdr:from>
      <xdr:col>14</xdr:col>
      <xdr:colOff>145676</xdr:colOff>
      <xdr:row>0</xdr:row>
      <xdr:rowOff>156883</xdr:rowOff>
    </xdr:from>
    <xdr:to>
      <xdr:col>17</xdr:col>
      <xdr:colOff>194621</xdr:colOff>
      <xdr:row>3</xdr:row>
      <xdr:rowOff>149375</xdr:rowOff>
    </xdr:to>
    <xdr:pic>
      <xdr:nvPicPr>
        <xdr:cNvPr id="3" name="Picture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1"/>
        <a:srcRect/>
        <a:stretch/>
      </xdr:blipFill>
      <xdr:spPr>
        <a:xfrm>
          <a:off x="8561294" y="156883"/>
          <a:ext cx="1897916" cy="631227"/>
        </a:xfrm>
        <a:prstGeom prst="rect">
          <a:avLst/>
        </a:prstGeom>
        <a:noFill/>
        <a:ln cmpd="sng">
          <a:noFill/>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ForecastLog" displayName="tblForecastLog" ref="B7:H37" headerRowDxfId="77" dataDxfId="76">
  <autoFilter ref="B7:H37" xr:uid="{00000000-0009-0000-0100-000001000000}"/>
  <sortState xmlns:xlrd2="http://schemas.microsoft.com/office/spreadsheetml/2017/richdata2" ref="B7:B37">
    <sortCondition ref="B7:B37"/>
  </sortState>
  <tableColumns count="7">
    <tableColumn id="2" xr3:uid="{00000000-0010-0000-0000-000002000000}" name="Vendor" dataDxfId="75"/>
    <tableColumn id="1" xr3:uid="{00000000-0010-0000-0000-000001000000}" name="Category" dataDxfId="74"/>
    <tableColumn id="3" xr3:uid="{00000000-0010-0000-0000-000003000000}" name="Forecasted Cost Type" dataDxfId="73"/>
    <tableColumn id="4" xr3:uid="{00000000-0010-0000-0000-000004000000}" name="Forecasted Cost Amount" dataDxfId="72"/>
    <tableColumn id="7" xr3:uid="{00000000-0010-0000-0000-000007000000}" name="Forecasted Cost Status" dataDxfId="71"/>
    <tableColumn id="5" xr3:uid="{00000000-0010-0000-0000-000005000000}" name="Date Entered" dataDxfId="70"/>
    <tableColumn id="6" xr3:uid="{00000000-0010-0000-0000-000006000000}" name="Commitment Notes" dataDxfId="69"/>
  </tableColumns>
  <tableStyleInfo name="TableStyleLight9 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BudetLog" displayName="tblBudetLog" ref="B7:G67" totalsRowCount="1" headerRowDxfId="68" dataDxfId="67" totalsRowDxfId="66">
  <autoFilter ref="B7:G66" xr:uid="{00000000-0009-0000-0100-000002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100-000001000000}" name="Category" totalsRowLabel="Total" dataDxfId="65" totalsRowDxfId="64"/>
    <tableColumn id="3" xr3:uid="{00000000-0010-0000-0100-000003000000}" name="Budget Type" dataDxfId="63" totalsRowDxfId="62"/>
    <tableColumn id="4" xr3:uid="{00000000-0010-0000-0100-000004000000}" name="Budget Amount" totalsRowFunction="custom" dataDxfId="61" totalsRowDxfId="60">
      <totalsRowFormula>SUBTOTAL(109,tblBudetLog[Budget Amount])</totalsRowFormula>
    </tableColumn>
    <tableColumn id="2" xr3:uid="{00000000-0010-0000-0100-000002000000}" name="Budget Status" dataDxfId="59" totalsRowDxfId="58"/>
    <tableColumn id="5" xr3:uid="{00000000-0010-0000-0100-000005000000}" name="Date Entered" dataDxfId="57" totalsRowDxfId="56"/>
    <tableColumn id="6" xr3:uid="{00000000-0010-0000-0100-000006000000}" name="Budget Notes" dataDxfId="55" totalsRowDxfId="54"/>
  </tableColumns>
  <tableStyleInfo name="TableStyleLight9 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Budget" displayName="tblBudget" ref="B7:M64" totalsRowCount="1" headerRowDxfId="53" dataDxfId="52" totalsRowDxfId="51">
  <autoFilter ref="B7:M63"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3" xr3:uid="{00000000-0010-0000-0200-000003000000}" name="Category" dataDxfId="50" totalsRowDxfId="49"/>
    <tableColumn id="4" xr3:uid="{00000000-0010-0000-0200-000004000000}" name="Original Budget" totalsRowFunction="custom" dataDxfId="48" totalsRowDxfId="47">
      <calculatedColumnFormula>SUMIFS(tblBudetLog[Budget Amount],tblBudetLog[Category],tblBudget[[#This Row],[Category]],tblBudetLog[Budget Type],"Original Budget",tblBudetLog[Budget Status],"Approved")</calculatedColumnFormula>
      <totalsRowFormula>SUBTOTAL(109,tblBudget[Original Budget])</totalsRowFormula>
    </tableColumn>
    <tableColumn id="5" xr3:uid="{00000000-0010-0000-0200-000005000000}" name="Approved Changes" totalsRowFunction="custom" dataDxfId="46" totalsRowDxfId="45">
      <calculatedColumnFormula>SUMIFS(tblBudetLog[Budget Amount],tblBudetLog[Category],tblBudget[[#This Row],[Category]],tblBudetLog[Budget Type],"Budget Adjustment")</calculatedColumnFormula>
      <totalsRowFormula>SUBTOTAL(109,tblBudget[Approved Changes])</totalsRowFormula>
    </tableColumn>
    <tableColumn id="6" xr3:uid="{00000000-0010-0000-0200-000006000000}" name="Revised Budget" totalsRowFunction="custom" dataDxfId="44" totalsRowDxfId="43">
      <calculatedColumnFormula>tblBudget[[#This Row],[Original Budget]]+tblBudget[[#This Row],[Approved Changes]]</calculatedColumnFormula>
      <totalsRowFormula>SUBTOTAL(109,tblBudget[Revised Budget])</totalsRowFormula>
    </tableColumn>
    <tableColumn id="2" xr3:uid="{00000000-0010-0000-0200-000002000000}" name="Revised Budget PSF" totalsRowFunction="custom" dataDxfId="42" totalsRowDxfId="41">
      <calculatedColumnFormula>tblBudget[[#This Row],[Revised Budget]]/$B$5</calculatedColumnFormula>
      <totalsRowFormula>SUBTOTAL(109,tblBudget[Revised Budget PSF])</totalsRowFormula>
    </tableColumn>
    <tableColumn id="7" xr3:uid="{00000000-0010-0000-0200-000007000000}" name="Committed Cost" totalsRowFunction="custom" dataDxfId="40" totalsRowDxfId="39">
      <calculatedColumnFormula>SUMPRODUCT((tblForecastLog[Category]=tblBudget[[#This Row],[Category]])*ISNUMBER(MATCH(tblForecastLog[Forecasted Cost Type],{"Actual Cost","Purchase Order","Subcontract","Subcontract CO #1","Subcontract CO #2","Subcontract CO #3","Subcontract CO #4","Subcontract CO #5","Subcontract CO #6","Subcontract CO #7","Subcontract CO #8","Subcontract CO #9","Subcontract CO #10"},0))*(tblForecastLog[Forecasted Cost Status]="Accepted")*tblForecastLog[Forecasted Cost Amount])</calculatedColumnFormula>
      <totalsRowFormula>SUBTOTAL(109,tblBudget[Committed Cost])</totalsRowFormula>
    </tableColumn>
    <tableColumn id="11" xr3:uid="{00000000-0010-0000-0200-00000B000000}" name="Estimated Costs" totalsRowFunction="custom" dataDxfId="38" totalsRowDxfId="37">
      <calculatedColumnFormula>SUMPRODUCT((tblForecastLog[Category]=tblBudget[[#This Row],[Category]])*ISNUMBER(MATCH(tblForecastLog[Forecasted Cost Type],{"Initial Estimate","Revised Estimate"},0))*ISNUMBER(MATCH(tblForecastLog[Forecasted Cost Status],{"Accepted","Pending"},0))*tblForecastLog[Forecasted Cost Amount])</calculatedColumnFormula>
      <totalsRowFormula>SUBTOTAL(109,tblBudget[Estimated Costs])</totalsRowFormula>
    </tableColumn>
    <tableColumn id="9" xr3:uid="{00000000-0010-0000-0200-000009000000}" name="Forecasted Final Cost" totalsRowFunction="custom" dataDxfId="36" totalsRowDxfId="35">
      <calculatedColumnFormula>tblBudget[[#This Row],[Committed Cost]]+tblBudget[[#This Row],[Estimated Costs]]</calculatedColumnFormula>
      <totalsRowFormula>SUBTOTAL(109,tblBudget[Forecasted Final Cost])</totalsRowFormula>
    </tableColumn>
    <tableColumn id="12" xr3:uid="{00000000-0010-0000-0200-00000C000000}" name="Forecasted Cost PSF" totalsRowFunction="custom" dataDxfId="34" totalsRowDxfId="33">
      <calculatedColumnFormula>tblBudget[[#This Row],[Forecasted Final Cost]]/$B$5</calculatedColumnFormula>
      <totalsRowFormula>SUBTOTAL(109,tblBudget[Forecasted Cost PSF])</totalsRowFormula>
    </tableColumn>
    <tableColumn id="10" xr3:uid="{00000000-0010-0000-0200-00000A000000}" name="Forecasted (Over)/Under" totalsRowFunction="custom" dataDxfId="32" totalsRowDxfId="31">
      <calculatedColumnFormula>tblBudget[[#This Row],[Revised Budget]]-tblBudget[[#This Row],[Forecasted Final Cost]]</calculatedColumnFormula>
      <totalsRowFormula>SUBTOTAL(109,tblBudget[Forecasted (Over)/Under])</totalsRowFormula>
    </tableColumn>
    <tableColumn id="8" xr3:uid="{00000000-0010-0000-0200-000008000000}" name="Invoiced to Date" totalsRowFunction="custom" dataDxfId="30" totalsRowDxfId="29">
      <calculatedColumnFormula>_xlfn.IFNA(CUBEVALUE("ThisWorkbookDataModel","[Measures].[Amount by _Category]",CUBEMEMBER("ThisWorkbookDataModel","[Fact_JobDetail].[_Category].&amp;["&amp;TRIM($B8)&amp;"]")),0)</calculatedColumnFormula>
      <totalsRowFormula>SUBTOTAL(109,tblBudget[Invoiced to Date])</totalsRowFormula>
    </tableColumn>
    <tableColumn id="1" xr3:uid="{00000000-0010-0000-0200-000001000000}" name="Project Manger Notes" dataDxfId="28" totalsRowDxfId="27"/>
  </tableColumns>
  <tableStyleInfo name="TableStyleLight9 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Properties" displayName="tblProperties" ref="B1:C63" headerRowDxfId="26" dataDxfId="25">
  <autoFilter ref="B1:C63" xr:uid="{00000000-0009-0000-0100-000004000000}"/>
  <tableColumns count="2">
    <tableColumn id="1" xr3:uid="{00000000-0010-0000-0300-000001000000}" name="PropertyCode" dataDxfId="24"/>
    <tableColumn id="2" xr3:uid="{00000000-0010-0000-0300-000002000000}" name="PropertyName" dataDxfId="23"/>
  </tableColumns>
  <tableStyleInfo name="TableStyleLight9 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Vendors" displayName="tblVendors" ref="G1:H124" headerRowDxfId="22" dataDxfId="21">
  <autoFilter ref="G1:H124" xr:uid="{00000000-0009-0000-0100-000005000000}"/>
  <tableColumns count="2">
    <tableColumn id="1" xr3:uid="{00000000-0010-0000-0400-000001000000}" name="VendorCode" dataDxfId="20"/>
    <tableColumn id="2" xr3:uid="{00000000-0010-0000-0400-000002000000}" name="VendorName" dataDxfId="19"/>
  </tableColumns>
  <tableStyleInfo name="TableStyleLight9 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CostCodes" displayName="tblCostCodes" ref="J1:L95" headerRowDxfId="18" dataDxfId="17">
  <autoFilter ref="J1:L95" xr:uid="{00000000-0009-0000-0100-000006000000}"/>
  <tableColumns count="3">
    <tableColumn id="3" xr3:uid="{00000000-0010-0000-0500-000003000000}" name="Category" dataDxfId="16"/>
    <tableColumn id="1" xr3:uid="{00000000-0010-0000-0500-000001000000}" name="CostCode" dataDxfId="15"/>
    <tableColumn id="2" xr3:uid="{00000000-0010-0000-0500-000002000000}" name="Description" dataDxfId="14"/>
  </tableColumns>
  <tableStyleInfo name="TableStyleLight9 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Lookups" displayName="tblLookups" ref="N1:T16" headerRowDxfId="13" dataDxfId="12">
  <autoFilter ref="N1:T16" xr:uid="{00000000-0009-0000-0100-000007000000}"/>
  <tableColumns count="7">
    <tableColumn id="1" xr3:uid="{00000000-0010-0000-0600-000001000000}" name="JobType" dataDxfId="11"/>
    <tableColumn id="2" xr3:uid="{00000000-0010-0000-0600-000002000000}" name="JobStatus" dataDxfId="10"/>
    <tableColumn id="8" xr3:uid="{00000000-0010-0000-0600-000008000000}" name="DevFeeType" dataDxfId="9"/>
    <tableColumn id="3" xr3:uid="{00000000-0010-0000-0600-000003000000}" name="ForecastType" dataDxfId="8"/>
    <tableColumn id="7" xr3:uid="{00000000-0010-0000-0600-000007000000}" name="ForecastStatus" dataDxfId="7"/>
    <tableColumn id="6" xr3:uid="{00000000-0010-0000-0600-000006000000}" name="BudgetType" dataDxfId="6"/>
    <tableColumn id="5" xr3:uid="{00000000-0010-0000-0600-000005000000}" name="BudgetStatus" dataDxfId="5"/>
  </tableColumns>
  <tableStyleInfo name="TableStyleLight9 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ProjectManagers" displayName="ProjectManagers" ref="E1:E6" headerRowDxfId="4" dataDxfId="3">
  <autoFilter ref="E1:E6" xr:uid="{00000000-0009-0000-0100-000008000000}"/>
  <tableColumns count="1">
    <tableColumn id="1" xr3:uid="{00000000-0010-0000-0700-000001000000}" name="ProjectManager" dataDxfId="2"/>
  </tableColumns>
  <tableStyleInfo name="TableStyleLight9 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 Id="rId5" Type="http://schemas.openxmlformats.org/officeDocument/2006/relationships/table" Target="../tables/table8.xml"/><Relationship Id="rId4"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EED18-6348-66BF-4D98-258378E7CD3F}">
  <dimension ref="A1:D95"/>
  <sheetViews>
    <sheetView tabSelected="1" topLeftCell="A73" workbookViewId="0">
      <selection activeCell="B59" sqref="B59"/>
    </sheetView>
  </sheetViews>
  <sheetFormatPr defaultColWidth="8.85546875" defaultRowHeight="15" customHeight="1" x14ac:dyDescent="0.25"/>
  <cols>
    <col min="1" max="1" width="42.85546875" customWidth="1"/>
    <col min="2" max="2" width="21.42578125" customWidth="1"/>
    <col min="3" max="3" width="42.85546875" customWidth="1"/>
    <col min="4" max="4" width="35.7109375" customWidth="1"/>
  </cols>
  <sheetData>
    <row r="1" spans="1:4" ht="15" customHeight="1" x14ac:dyDescent="0.25">
      <c r="A1" s="270" t="s">
        <v>0</v>
      </c>
      <c r="B1" s="270"/>
      <c r="C1" s="270"/>
      <c r="D1" s="270"/>
    </row>
    <row r="3" spans="1:4" ht="15" customHeight="1" x14ac:dyDescent="0.25">
      <c r="A3" s="1" t="s">
        <v>1</v>
      </c>
    </row>
    <row r="4" spans="1:4" ht="15" customHeight="1" x14ac:dyDescent="0.25">
      <c r="A4" t="s">
        <v>2</v>
      </c>
      <c r="B4" t="s">
        <v>3</v>
      </c>
    </row>
    <row r="6" spans="1:4" ht="15" customHeight="1" x14ac:dyDescent="0.25">
      <c r="A6" t="s">
        <v>4</v>
      </c>
    </row>
    <row r="7" spans="1:4" ht="15" customHeight="1" x14ac:dyDescent="0.25">
      <c r="A7" t="s">
        <v>5</v>
      </c>
      <c r="B7" t="s">
        <v>6</v>
      </c>
    </row>
    <row r="8" spans="1:4" ht="15" customHeight="1" x14ac:dyDescent="0.25">
      <c r="A8" t="s">
        <v>7</v>
      </c>
      <c r="B8" t="s">
        <v>8</v>
      </c>
    </row>
    <row r="9" spans="1:4" ht="15" customHeight="1" x14ac:dyDescent="0.25">
      <c r="A9" t="s">
        <v>9</v>
      </c>
      <c r="B9" t="s">
        <v>10</v>
      </c>
    </row>
    <row r="10" spans="1:4" ht="15" customHeight="1" x14ac:dyDescent="0.25">
      <c r="A10" t="s">
        <v>11</v>
      </c>
      <c r="B10" t="s">
        <v>12</v>
      </c>
    </row>
    <row r="11" spans="1:4" ht="15" customHeight="1" x14ac:dyDescent="0.25">
      <c r="A11" t="s">
        <v>13</v>
      </c>
      <c r="B11" t="s">
        <v>14</v>
      </c>
    </row>
    <row r="13" spans="1:4" ht="15" customHeight="1" x14ac:dyDescent="0.25">
      <c r="A13" s="1" t="s">
        <v>15</v>
      </c>
    </row>
    <row r="15" spans="1:4" ht="15" customHeight="1" x14ac:dyDescent="0.25">
      <c r="A15" s="2" t="s">
        <v>16</v>
      </c>
    </row>
    <row r="16" spans="1:4" ht="15" customHeight="1" x14ac:dyDescent="0.25">
      <c r="A16" t="s">
        <v>17</v>
      </c>
      <c r="B16" t="s">
        <v>18</v>
      </c>
    </row>
    <row r="17" spans="1:3" ht="15" customHeight="1" x14ac:dyDescent="0.25">
      <c r="A17" t="s">
        <v>19</v>
      </c>
      <c r="B17" t="s">
        <v>20</v>
      </c>
    </row>
    <row r="18" spans="1:3" ht="15" customHeight="1" x14ac:dyDescent="0.25">
      <c r="A18" t="s">
        <v>21</v>
      </c>
      <c r="B18" t="s">
        <v>22</v>
      </c>
    </row>
    <row r="20" spans="1:3" ht="15" customHeight="1" x14ac:dyDescent="0.25">
      <c r="A20" s="2" t="s">
        <v>23</v>
      </c>
    </row>
    <row r="21" spans="1:3" ht="15" customHeight="1" x14ac:dyDescent="0.25">
      <c r="A21" t="s">
        <v>17</v>
      </c>
      <c r="B21" t="s">
        <v>24</v>
      </c>
    </row>
    <row r="22" spans="1:3" ht="15" customHeight="1" x14ac:dyDescent="0.25">
      <c r="A22" t="s">
        <v>19</v>
      </c>
      <c r="B22" t="s">
        <v>25</v>
      </c>
    </row>
    <row r="24" spans="1:3" ht="15" customHeight="1" x14ac:dyDescent="0.25">
      <c r="A24" s="3" t="s">
        <v>26</v>
      </c>
    </row>
    <row r="25" spans="1:3" ht="15" customHeight="1" x14ac:dyDescent="0.25">
      <c r="A25" s="1" t="s">
        <v>27</v>
      </c>
    </row>
    <row r="26" spans="1:3" ht="15" customHeight="1" x14ac:dyDescent="0.25">
      <c r="A26" s="3" t="s">
        <v>26</v>
      </c>
    </row>
    <row r="28" spans="1:3" ht="15" customHeight="1" x14ac:dyDescent="0.25">
      <c r="A28" s="4" t="s">
        <v>28</v>
      </c>
    </row>
    <row r="29" spans="1:3" ht="15" customHeight="1" x14ac:dyDescent="0.25">
      <c r="A29" t="s">
        <v>29</v>
      </c>
      <c r="C29" t="s">
        <v>30</v>
      </c>
    </row>
    <row r="30" spans="1:3" ht="15" customHeight="1" x14ac:dyDescent="0.25">
      <c r="A30" t="s">
        <v>31</v>
      </c>
      <c r="C30" t="s">
        <v>32</v>
      </c>
    </row>
    <row r="31" spans="1:3" ht="15" customHeight="1" x14ac:dyDescent="0.25">
      <c r="A31" t="s">
        <v>33</v>
      </c>
      <c r="C31" t="s">
        <v>34</v>
      </c>
    </row>
    <row r="32" spans="1:3" ht="15" customHeight="1" x14ac:dyDescent="0.25">
      <c r="A32" t="s">
        <v>35</v>
      </c>
      <c r="C32" t="s">
        <v>36</v>
      </c>
    </row>
    <row r="34" spans="1:4" ht="15" customHeight="1" x14ac:dyDescent="0.25">
      <c r="A34" s="4" t="s">
        <v>37</v>
      </c>
    </row>
    <row r="35" spans="1:4" ht="15" customHeight="1" x14ac:dyDescent="0.25">
      <c r="A35" t="s">
        <v>29</v>
      </c>
      <c r="C35" t="s">
        <v>38</v>
      </c>
    </row>
    <row r="36" spans="1:4" ht="15" customHeight="1" x14ac:dyDescent="0.25">
      <c r="A36" t="s">
        <v>31</v>
      </c>
      <c r="C36" t="s">
        <v>39</v>
      </c>
    </row>
    <row r="37" spans="1:4" ht="15" customHeight="1" x14ac:dyDescent="0.25">
      <c r="A37" t="s">
        <v>33</v>
      </c>
      <c r="C37" t="s">
        <v>40</v>
      </c>
    </row>
    <row r="38" spans="1:4" ht="15" customHeight="1" x14ac:dyDescent="0.25">
      <c r="A38" t="s">
        <v>35</v>
      </c>
      <c r="C38" t="s">
        <v>41</v>
      </c>
    </row>
    <row r="40" spans="1:4" ht="15" customHeight="1" x14ac:dyDescent="0.25">
      <c r="A40" s="4" t="s">
        <v>42</v>
      </c>
    </row>
    <row r="41" spans="1:4" ht="15" customHeight="1" x14ac:dyDescent="0.25">
      <c r="A41" t="s">
        <v>29</v>
      </c>
      <c r="C41" t="s">
        <v>43</v>
      </c>
    </row>
    <row r="42" spans="1:4" ht="15" customHeight="1" x14ac:dyDescent="0.25">
      <c r="A42" t="s">
        <v>31</v>
      </c>
      <c r="C42" t="s">
        <v>44</v>
      </c>
    </row>
    <row r="43" spans="1:4" ht="15" customHeight="1" x14ac:dyDescent="0.25">
      <c r="A43" s="4" t="s">
        <v>45</v>
      </c>
      <c r="C43" t="s">
        <v>46</v>
      </c>
    </row>
    <row r="44" spans="1:4" ht="15" customHeight="1" x14ac:dyDescent="0.25">
      <c r="A44" t="s">
        <v>47</v>
      </c>
      <c r="C44" t="s">
        <v>48</v>
      </c>
      <c r="D44" t="s">
        <v>49</v>
      </c>
    </row>
    <row r="45" spans="1:4" ht="15" customHeight="1" x14ac:dyDescent="0.25">
      <c r="A45" t="s">
        <v>50</v>
      </c>
      <c r="D45" t="s">
        <v>51</v>
      </c>
    </row>
    <row r="46" spans="1:4" ht="15" customHeight="1" x14ac:dyDescent="0.25">
      <c r="A46" t="s">
        <v>52</v>
      </c>
      <c r="D46" t="s">
        <v>53</v>
      </c>
    </row>
    <row r="47" spans="1:4" ht="15" customHeight="1" x14ac:dyDescent="0.25">
      <c r="A47" t="s">
        <v>54</v>
      </c>
      <c r="D47" t="s">
        <v>55</v>
      </c>
    </row>
    <row r="48" spans="1:4" ht="15" customHeight="1" x14ac:dyDescent="0.25">
      <c r="A48" t="s">
        <v>56</v>
      </c>
      <c r="D48" t="s">
        <v>57</v>
      </c>
    </row>
    <row r="49" spans="1:4" ht="15" customHeight="1" x14ac:dyDescent="0.25">
      <c r="A49" t="s">
        <v>58</v>
      </c>
      <c r="D49" t="s">
        <v>59</v>
      </c>
    </row>
    <row r="50" spans="1:4" ht="15" customHeight="1" x14ac:dyDescent="0.25">
      <c r="A50" t="s">
        <v>60</v>
      </c>
      <c r="D50" t="s">
        <v>61</v>
      </c>
    </row>
    <row r="53" spans="1:4" ht="15" customHeight="1" x14ac:dyDescent="0.25">
      <c r="A53" s="3" t="s">
        <v>26</v>
      </c>
    </row>
    <row r="54" spans="1:4" ht="15" customHeight="1" x14ac:dyDescent="0.25">
      <c r="A54" s="1" t="s">
        <v>62</v>
      </c>
    </row>
    <row r="55" spans="1:4" ht="15" customHeight="1" x14ac:dyDescent="0.25">
      <c r="A55" s="3" t="s">
        <v>26</v>
      </c>
    </row>
    <row r="57" spans="1:4" ht="15" customHeight="1" x14ac:dyDescent="0.25">
      <c r="A57" s="5" t="s">
        <v>63</v>
      </c>
    </row>
    <row r="58" spans="1:4" ht="15" customHeight="1" x14ac:dyDescent="0.25">
      <c r="A58" t="s">
        <v>64</v>
      </c>
    </row>
    <row r="59" spans="1:4" ht="15" customHeight="1" x14ac:dyDescent="0.25">
      <c r="A59" t="s">
        <v>65</v>
      </c>
    </row>
    <row r="60" spans="1:4" ht="15" customHeight="1" x14ac:dyDescent="0.25">
      <c r="A60" t="s">
        <v>66</v>
      </c>
    </row>
    <row r="61" spans="1:4" ht="15" customHeight="1" x14ac:dyDescent="0.25">
      <c r="A61" t="s">
        <v>67</v>
      </c>
    </row>
    <row r="63" spans="1:4" ht="15" customHeight="1" x14ac:dyDescent="0.25">
      <c r="A63" s="5" t="s">
        <v>68</v>
      </c>
    </row>
    <row r="64" spans="1:4" ht="15" customHeight="1" x14ac:dyDescent="0.25">
      <c r="A64" t="s">
        <v>69</v>
      </c>
    </row>
    <row r="65" spans="1:1" ht="15" customHeight="1" x14ac:dyDescent="0.25">
      <c r="A65" t="s">
        <v>70</v>
      </c>
    </row>
    <row r="66" spans="1:1" ht="15" customHeight="1" x14ac:dyDescent="0.25">
      <c r="A66" t="s">
        <v>71</v>
      </c>
    </row>
    <row r="67" spans="1:1" ht="15" customHeight="1" x14ac:dyDescent="0.25">
      <c r="A67" t="s">
        <v>72</v>
      </c>
    </row>
    <row r="69" spans="1:1" ht="15" customHeight="1" x14ac:dyDescent="0.25">
      <c r="A69" s="5" t="s">
        <v>73</v>
      </c>
    </row>
    <row r="70" spans="1:1" ht="15" customHeight="1" x14ac:dyDescent="0.25">
      <c r="A70" t="s">
        <v>74</v>
      </c>
    </row>
    <row r="71" spans="1:1" ht="15" customHeight="1" x14ac:dyDescent="0.25">
      <c r="A71" t="s">
        <v>75</v>
      </c>
    </row>
    <row r="72" spans="1:1" ht="15" customHeight="1" x14ac:dyDescent="0.25">
      <c r="A72" t="s">
        <v>76</v>
      </c>
    </row>
    <row r="73" spans="1:1" ht="15" customHeight="1" x14ac:dyDescent="0.25">
      <c r="A73" t="s">
        <v>77</v>
      </c>
    </row>
    <row r="74" spans="1:1" ht="15" customHeight="1" x14ac:dyDescent="0.25">
      <c r="A74" t="s">
        <v>78</v>
      </c>
    </row>
    <row r="76" spans="1:1" ht="15" customHeight="1" x14ac:dyDescent="0.25">
      <c r="A76" s="3" t="s">
        <v>26</v>
      </c>
    </row>
    <row r="77" spans="1:1" ht="15" customHeight="1" x14ac:dyDescent="0.25">
      <c r="A77" s="6" t="s">
        <v>79</v>
      </c>
    </row>
    <row r="80" spans="1:1" ht="15" customHeight="1" x14ac:dyDescent="0.25">
      <c r="A80" s="5" t="s">
        <v>80</v>
      </c>
    </row>
    <row r="81" spans="1:1" ht="15" customHeight="1" x14ac:dyDescent="0.25">
      <c r="A81" t="s">
        <v>81</v>
      </c>
    </row>
    <row r="82" spans="1:1" ht="15" customHeight="1" x14ac:dyDescent="0.25">
      <c r="A82" t="s">
        <v>82</v>
      </c>
    </row>
    <row r="83" spans="1:1" ht="15" customHeight="1" x14ac:dyDescent="0.25">
      <c r="A83" t="s">
        <v>83</v>
      </c>
    </row>
    <row r="84" spans="1:1" ht="15" customHeight="1" x14ac:dyDescent="0.25">
      <c r="A84" t="s">
        <v>84</v>
      </c>
    </row>
    <row r="85" spans="1:1" ht="15" customHeight="1" x14ac:dyDescent="0.25">
      <c r="A85" t="s">
        <v>85</v>
      </c>
    </row>
    <row r="86" spans="1:1" ht="15" customHeight="1" x14ac:dyDescent="0.25">
      <c r="A86" t="s">
        <v>86</v>
      </c>
    </row>
    <row r="87" spans="1:1" ht="15" customHeight="1" x14ac:dyDescent="0.25">
      <c r="A87" t="s">
        <v>87</v>
      </c>
    </row>
    <row r="88" spans="1:1" ht="15" customHeight="1" x14ac:dyDescent="0.25">
      <c r="A88" t="s">
        <v>88</v>
      </c>
    </row>
    <row r="91" spans="1:1" ht="15" customHeight="1" x14ac:dyDescent="0.25">
      <c r="A91" s="5" t="s">
        <v>89</v>
      </c>
    </row>
    <row r="92" spans="1:1" ht="15" customHeight="1" x14ac:dyDescent="0.25">
      <c r="A92" t="s">
        <v>90</v>
      </c>
    </row>
    <row r="93" spans="1:1" ht="15" customHeight="1" x14ac:dyDescent="0.25">
      <c r="A93" t="s">
        <v>91</v>
      </c>
    </row>
    <row r="94" spans="1:1" ht="15" customHeight="1" x14ac:dyDescent="0.25">
      <c r="A94" t="s">
        <v>92</v>
      </c>
    </row>
    <row r="95" spans="1:1" ht="15" customHeight="1" x14ac:dyDescent="0.25">
      <c r="A95" t="s">
        <v>93</v>
      </c>
    </row>
  </sheetData>
  <mergeCells count="1">
    <mergeCell ref="A1:D1"/>
  </mergeCells>
  <pageMargins left="0.7" right="0.7" top="0.75" bottom="0.75" header="0.3" footer="0.3"/>
  <pageSetup orientation="portrait"/>
  <headerFooter>
    <oddHeader>&amp;L&amp;C&amp;R</oddHeader>
    <oddFooter>&amp;L&amp;C&amp;R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9897E-FA55-0723-DC41-71A02EFBD818}">
  <sheetPr>
    <tabColor theme="1"/>
    <pageSetUpPr fitToPage="1"/>
  </sheetPr>
  <dimension ref="A1:O219"/>
  <sheetViews>
    <sheetView showGridLines="0" zoomScale="60" workbookViewId="0">
      <selection activeCell="G4" sqref="G4"/>
    </sheetView>
  </sheetViews>
  <sheetFormatPr defaultColWidth="9.140625" defaultRowHeight="21.75" customHeight="1" x14ac:dyDescent="0.25"/>
  <cols>
    <col min="1" max="1" width="5.7109375" style="18" customWidth="1"/>
    <col min="2" max="2" width="100.7109375" style="18" customWidth="1"/>
    <col min="3" max="3" width="9.140625" style="18" customWidth="1"/>
    <col min="4" max="4" width="37.140625" style="18" customWidth="1"/>
    <col min="5" max="5" width="11.5703125" style="18" customWidth="1"/>
    <col min="6" max="13" width="9.140625" style="18" customWidth="1"/>
    <col min="14" max="15" width="189.140625" style="18" customWidth="1"/>
  </cols>
  <sheetData>
    <row r="1" spans="2:15" ht="36.75" customHeight="1" x14ac:dyDescent="0.25"/>
    <row r="2" spans="2:15" ht="87" customHeight="1" x14ac:dyDescent="0.95">
      <c r="B2" s="7" t="s">
        <v>94</v>
      </c>
    </row>
    <row r="3" spans="2:15" ht="28.5" customHeight="1" x14ac:dyDescent="0.25">
      <c r="B3" s="8" t="s">
        <v>95</v>
      </c>
    </row>
    <row r="4" spans="2:15" ht="49.5" customHeight="1" x14ac:dyDescent="0.25">
      <c r="B4" s="9" t="s">
        <v>96</v>
      </c>
    </row>
    <row r="5" spans="2:15" ht="12" customHeight="1" x14ac:dyDescent="0.25"/>
    <row r="6" spans="2:15" ht="28.5" customHeight="1" x14ac:dyDescent="0.25">
      <c r="B6" s="10" t="s">
        <v>97</v>
      </c>
    </row>
    <row r="7" spans="2:15" ht="49.5" customHeight="1" x14ac:dyDescent="0.25">
      <c r="B7" s="11" t="s">
        <v>98</v>
      </c>
    </row>
    <row r="8" spans="2:15" ht="24.75" customHeight="1" x14ac:dyDescent="0.25">
      <c r="B8" s="12" t="s">
        <v>99</v>
      </c>
    </row>
    <row r="9" spans="2:15" ht="12" customHeight="1" x14ac:dyDescent="0.25"/>
    <row r="10" spans="2:15" ht="28.5" customHeight="1" x14ac:dyDescent="0.25">
      <c r="B10" s="10" t="s">
        <v>100</v>
      </c>
    </row>
    <row r="11" spans="2:15" ht="74.25" customHeight="1" x14ac:dyDescent="0.25">
      <c r="B11" s="9" t="s">
        <v>101</v>
      </c>
    </row>
    <row r="12" spans="2:15" ht="247.5" customHeight="1" x14ac:dyDescent="0.25">
      <c r="B12" s="13" t="s">
        <v>102</v>
      </c>
      <c r="C12" s="14"/>
      <c r="O12"/>
    </row>
    <row r="13" spans="2:15" ht="24.75" customHeight="1" x14ac:dyDescent="0.25">
      <c r="B13" s="15"/>
      <c r="C13" s="14"/>
    </row>
    <row r="14" spans="2:15" ht="148.5" customHeight="1" x14ac:dyDescent="0.25">
      <c r="B14" s="15" t="s">
        <v>103</v>
      </c>
    </row>
    <row r="20" spans="14:14" ht="21.75" customHeight="1" x14ac:dyDescent="0.25">
      <c r="N20" s="16" t="s">
        <v>104</v>
      </c>
    </row>
    <row r="21" spans="14:14" ht="21.75" customHeight="1" x14ac:dyDescent="0.25">
      <c r="N21" s="16" t="s">
        <v>105</v>
      </c>
    </row>
    <row r="22" spans="14:14" ht="21.75" customHeight="1" x14ac:dyDescent="0.25">
      <c r="N22" s="16"/>
    </row>
    <row r="23" spans="14:14" ht="21.75" customHeight="1" x14ac:dyDescent="0.25">
      <c r="N23" s="17" t="s">
        <v>106</v>
      </c>
    </row>
    <row r="24" spans="14:14" ht="45" customHeight="1" x14ac:dyDescent="0.25">
      <c r="N24" s="17" t="s">
        <v>107</v>
      </c>
    </row>
    <row r="25" spans="14:14" ht="21.75" customHeight="1" x14ac:dyDescent="0.25">
      <c r="N25" s="17"/>
    </row>
    <row r="26" spans="14:14" ht="21.75" customHeight="1" x14ac:dyDescent="0.25">
      <c r="N26" s="17" t="s">
        <v>108</v>
      </c>
    </row>
    <row r="27" spans="14:14" ht="21.75" customHeight="1" x14ac:dyDescent="0.25">
      <c r="N27" s="17" t="s">
        <v>109</v>
      </c>
    </row>
    <row r="28" spans="14:14" ht="21.75" customHeight="1" x14ac:dyDescent="0.25">
      <c r="N28" s="17" t="s">
        <v>110</v>
      </c>
    </row>
    <row r="29" spans="14:14" ht="21.75" customHeight="1" x14ac:dyDescent="0.25">
      <c r="N29" s="17" t="s">
        <v>111</v>
      </c>
    </row>
    <row r="30" spans="14:14" ht="21.75" customHeight="1" x14ac:dyDescent="0.25">
      <c r="N30" s="17" t="s">
        <v>112</v>
      </c>
    </row>
    <row r="31" spans="14:14" ht="21.75" customHeight="1" x14ac:dyDescent="0.25">
      <c r="N31" s="17" t="s">
        <v>113</v>
      </c>
    </row>
    <row r="32" spans="14:14" ht="21.75" customHeight="1" x14ac:dyDescent="0.25">
      <c r="N32" s="16"/>
    </row>
    <row r="33" spans="14:14" ht="21.75" customHeight="1" x14ac:dyDescent="0.25">
      <c r="N33" s="17" t="s">
        <v>114</v>
      </c>
    </row>
    <row r="34" spans="14:14" ht="21.75" customHeight="1" x14ac:dyDescent="0.25">
      <c r="N34" s="17" t="s">
        <v>115</v>
      </c>
    </row>
    <row r="35" spans="14:14" ht="21.75" customHeight="1" x14ac:dyDescent="0.25">
      <c r="N35" s="17" t="s">
        <v>116</v>
      </c>
    </row>
    <row r="36" spans="14:14" ht="21.75" customHeight="1" x14ac:dyDescent="0.25">
      <c r="N36" s="17" t="s">
        <v>117</v>
      </c>
    </row>
    <row r="37" spans="14:14" ht="21.75" customHeight="1" x14ac:dyDescent="0.25">
      <c r="N37" s="17" t="s">
        <v>118</v>
      </c>
    </row>
    <row r="38" spans="14:14" ht="21.75" customHeight="1" x14ac:dyDescent="0.25">
      <c r="N38" s="17"/>
    </row>
    <row r="39" spans="14:14" ht="21.75" customHeight="1" x14ac:dyDescent="0.25">
      <c r="N39" s="17" t="s">
        <v>119</v>
      </c>
    </row>
    <row r="40" spans="14:14" ht="21.75" customHeight="1" x14ac:dyDescent="0.25">
      <c r="N40" s="17" t="s">
        <v>120</v>
      </c>
    </row>
    <row r="41" spans="14:14" ht="21.75" customHeight="1" x14ac:dyDescent="0.25">
      <c r="N41" s="17" t="s">
        <v>121</v>
      </c>
    </row>
    <row r="42" spans="14:14" ht="21.75" customHeight="1" x14ac:dyDescent="0.25">
      <c r="N42" s="17" t="s">
        <v>122</v>
      </c>
    </row>
    <row r="43" spans="14:14" ht="21.75" customHeight="1" x14ac:dyDescent="0.25">
      <c r="N43" s="17" t="s">
        <v>123</v>
      </c>
    </row>
    <row r="44" spans="14:14" ht="21.75" customHeight="1" x14ac:dyDescent="0.25">
      <c r="N44" s="17"/>
    </row>
    <row r="45" spans="14:14" ht="21.75" customHeight="1" x14ac:dyDescent="0.25">
      <c r="N45" s="17" t="s">
        <v>124</v>
      </c>
    </row>
    <row r="46" spans="14:14" ht="21.75" customHeight="1" x14ac:dyDescent="0.25">
      <c r="N46" s="17" t="s">
        <v>125</v>
      </c>
    </row>
    <row r="47" spans="14:14" ht="21.75" customHeight="1" x14ac:dyDescent="0.25">
      <c r="N47" s="17" t="s">
        <v>126</v>
      </c>
    </row>
    <row r="48" spans="14:14" ht="21.75" customHeight="1" x14ac:dyDescent="0.25">
      <c r="N48" s="17" t="s">
        <v>127</v>
      </c>
    </row>
    <row r="49" spans="14:14" ht="21.75" customHeight="1" x14ac:dyDescent="0.25">
      <c r="N49" s="17" t="s">
        <v>128</v>
      </c>
    </row>
    <row r="50" spans="14:14" ht="21.75" customHeight="1" x14ac:dyDescent="0.25">
      <c r="N50" s="17"/>
    </row>
    <row r="51" spans="14:14" ht="21.75" customHeight="1" x14ac:dyDescent="0.25">
      <c r="N51" s="17" t="s">
        <v>129</v>
      </c>
    </row>
    <row r="52" spans="14:14" ht="21.75" customHeight="1" x14ac:dyDescent="0.25">
      <c r="N52" s="17" t="s">
        <v>130</v>
      </c>
    </row>
    <row r="53" spans="14:14" ht="21.75" customHeight="1" x14ac:dyDescent="0.25">
      <c r="N53" s="17" t="s">
        <v>131</v>
      </c>
    </row>
    <row r="54" spans="14:14" ht="21.75" customHeight="1" x14ac:dyDescent="0.25">
      <c r="N54" s="17" t="s">
        <v>132</v>
      </c>
    </row>
    <row r="55" spans="14:14" ht="21.75" customHeight="1" x14ac:dyDescent="0.25">
      <c r="N55" s="17" t="s">
        <v>133</v>
      </c>
    </row>
    <row r="56" spans="14:14" ht="21.75" customHeight="1" x14ac:dyDescent="0.25">
      <c r="N56" s="17"/>
    </row>
    <row r="57" spans="14:14" ht="21.75" customHeight="1" x14ac:dyDescent="0.25">
      <c r="N57" s="17" t="s">
        <v>134</v>
      </c>
    </row>
    <row r="58" spans="14:14" ht="21.75" customHeight="1" x14ac:dyDescent="0.25">
      <c r="N58" s="17" t="s">
        <v>135</v>
      </c>
    </row>
    <row r="59" spans="14:14" ht="21.75" customHeight="1" x14ac:dyDescent="0.25">
      <c r="N59" s="17" t="s">
        <v>136</v>
      </c>
    </row>
    <row r="60" spans="14:14" ht="21.75" customHeight="1" x14ac:dyDescent="0.25">
      <c r="N60" s="17"/>
    </row>
    <row r="61" spans="14:14" ht="21.75" customHeight="1" x14ac:dyDescent="0.25">
      <c r="N61" s="17" t="s">
        <v>137</v>
      </c>
    </row>
    <row r="62" spans="14:14" ht="21.75" customHeight="1" x14ac:dyDescent="0.25">
      <c r="N62" s="17" t="s">
        <v>138</v>
      </c>
    </row>
    <row r="63" spans="14:14" ht="21.75" customHeight="1" x14ac:dyDescent="0.25">
      <c r="N63" s="17" t="s">
        <v>139</v>
      </c>
    </row>
    <row r="64" spans="14:14" ht="21.75" customHeight="1" x14ac:dyDescent="0.25">
      <c r="N64" s="17" t="s">
        <v>140</v>
      </c>
    </row>
    <row r="65" spans="14:14" ht="21.75" customHeight="1" x14ac:dyDescent="0.25">
      <c r="N65" s="17"/>
    </row>
    <row r="66" spans="14:14" ht="21.75" customHeight="1" x14ac:dyDescent="0.25">
      <c r="N66" s="17" t="s">
        <v>141</v>
      </c>
    </row>
    <row r="67" spans="14:14" ht="21.75" customHeight="1" x14ac:dyDescent="0.25">
      <c r="N67" s="17" t="s">
        <v>142</v>
      </c>
    </row>
    <row r="68" spans="14:14" ht="21.75" customHeight="1" x14ac:dyDescent="0.25">
      <c r="N68" s="17" t="s">
        <v>143</v>
      </c>
    </row>
    <row r="69" spans="14:14" ht="21.75" customHeight="1" x14ac:dyDescent="0.25">
      <c r="N69" s="17" t="s">
        <v>144</v>
      </c>
    </row>
    <row r="70" spans="14:14" ht="21.75" customHeight="1" x14ac:dyDescent="0.25">
      <c r="N70" s="17" t="s">
        <v>145</v>
      </c>
    </row>
    <row r="71" spans="14:14" ht="21.75" customHeight="1" x14ac:dyDescent="0.25">
      <c r="N71" s="17" t="s">
        <v>146</v>
      </c>
    </row>
    <row r="72" spans="14:14" ht="21.75" customHeight="1" x14ac:dyDescent="0.25">
      <c r="N72" s="17" t="s">
        <v>147</v>
      </c>
    </row>
    <row r="73" spans="14:14" ht="21.75" customHeight="1" x14ac:dyDescent="0.25">
      <c r="N73" s="17" t="s">
        <v>148</v>
      </c>
    </row>
    <row r="74" spans="14:14" ht="21.75" customHeight="1" x14ac:dyDescent="0.25">
      <c r="N74" s="17"/>
    </row>
    <row r="75" spans="14:14" ht="21.75" customHeight="1" x14ac:dyDescent="0.25">
      <c r="N75" s="17" t="s">
        <v>149</v>
      </c>
    </row>
    <row r="76" spans="14:14" ht="21.75" customHeight="1" x14ac:dyDescent="0.25">
      <c r="N76" s="17" t="s">
        <v>150</v>
      </c>
    </row>
    <row r="77" spans="14:14" ht="21.75" customHeight="1" x14ac:dyDescent="0.25">
      <c r="N77" s="17" t="s">
        <v>151</v>
      </c>
    </row>
    <row r="78" spans="14:14" ht="21.75" customHeight="1" x14ac:dyDescent="0.25">
      <c r="N78" s="17" t="s">
        <v>152</v>
      </c>
    </row>
    <row r="79" spans="14:14" ht="21.75" customHeight="1" x14ac:dyDescent="0.25">
      <c r="N79" s="17"/>
    </row>
    <row r="80" spans="14:14" ht="21.75" customHeight="1" x14ac:dyDescent="0.25">
      <c r="N80" s="17" t="s">
        <v>153</v>
      </c>
    </row>
    <row r="81" spans="14:14" ht="21.75" customHeight="1" x14ac:dyDescent="0.25">
      <c r="N81" s="17" t="s">
        <v>154</v>
      </c>
    </row>
    <row r="82" spans="14:14" ht="21.75" customHeight="1" x14ac:dyDescent="0.25">
      <c r="N82" s="17" t="s">
        <v>155</v>
      </c>
    </row>
    <row r="83" spans="14:14" ht="21.75" customHeight="1" x14ac:dyDescent="0.25">
      <c r="N83" s="17"/>
    </row>
    <row r="84" spans="14:14" ht="21.75" customHeight="1" x14ac:dyDescent="0.25">
      <c r="N84" s="17" t="s">
        <v>156</v>
      </c>
    </row>
    <row r="85" spans="14:14" ht="21.75" customHeight="1" x14ac:dyDescent="0.25">
      <c r="N85" s="17" t="s">
        <v>157</v>
      </c>
    </row>
    <row r="86" spans="14:14" ht="21.75" customHeight="1" x14ac:dyDescent="0.25">
      <c r="N86" s="17" t="s">
        <v>158</v>
      </c>
    </row>
    <row r="87" spans="14:14" ht="21.75" customHeight="1" x14ac:dyDescent="0.25">
      <c r="N87" s="17"/>
    </row>
    <row r="88" spans="14:14" ht="21.75" customHeight="1" x14ac:dyDescent="0.25">
      <c r="N88" s="17" t="s">
        <v>159</v>
      </c>
    </row>
    <row r="89" spans="14:14" ht="21.75" customHeight="1" x14ac:dyDescent="0.25">
      <c r="N89" s="17" t="s">
        <v>160</v>
      </c>
    </row>
    <row r="90" spans="14:14" ht="21.75" customHeight="1" x14ac:dyDescent="0.25">
      <c r="N90" s="17" t="s">
        <v>161</v>
      </c>
    </row>
    <row r="91" spans="14:14" ht="21.75" customHeight="1" x14ac:dyDescent="0.25">
      <c r="N91" s="17" t="s">
        <v>162</v>
      </c>
    </row>
    <row r="92" spans="14:14" ht="21.75" customHeight="1" x14ac:dyDescent="0.25">
      <c r="N92" s="16"/>
    </row>
    <row r="93" spans="14:14" ht="21.75" customHeight="1" x14ac:dyDescent="0.25">
      <c r="N93" s="17" t="s">
        <v>163</v>
      </c>
    </row>
    <row r="94" spans="14:14" ht="21.75" customHeight="1" x14ac:dyDescent="0.25">
      <c r="N94" s="17" t="s">
        <v>164</v>
      </c>
    </row>
    <row r="95" spans="14:14" ht="21.75" customHeight="1" x14ac:dyDescent="0.25">
      <c r="N95" s="17" t="s">
        <v>165</v>
      </c>
    </row>
    <row r="96" spans="14:14" ht="21.75" customHeight="1" x14ac:dyDescent="0.25">
      <c r="N96" s="17" t="s">
        <v>166</v>
      </c>
    </row>
    <row r="97" spans="14:14" ht="21.75" customHeight="1" x14ac:dyDescent="0.25">
      <c r="N97" s="17" t="s">
        <v>167</v>
      </c>
    </row>
    <row r="98" spans="14:14" ht="21.75" customHeight="1" x14ac:dyDescent="0.25">
      <c r="N98" s="17" t="s">
        <v>168</v>
      </c>
    </row>
    <row r="99" spans="14:14" ht="21.75" customHeight="1" x14ac:dyDescent="0.25">
      <c r="N99" s="17" t="s">
        <v>169</v>
      </c>
    </row>
    <row r="100" spans="14:14" ht="21.75" customHeight="1" x14ac:dyDescent="0.25">
      <c r="N100" s="17" t="s">
        <v>170</v>
      </c>
    </row>
    <row r="101" spans="14:14" ht="21.75" customHeight="1" x14ac:dyDescent="0.25">
      <c r="N101" s="17" t="s">
        <v>171</v>
      </c>
    </row>
    <row r="102" spans="14:14" ht="21.75" customHeight="1" x14ac:dyDescent="0.25">
      <c r="N102" s="17" t="s">
        <v>172</v>
      </c>
    </row>
    <row r="103" spans="14:14" ht="21.75" customHeight="1" x14ac:dyDescent="0.25">
      <c r="N103" s="17" t="s">
        <v>173</v>
      </c>
    </row>
    <row r="104" spans="14:14" ht="21.75" customHeight="1" x14ac:dyDescent="0.25">
      <c r="N104" s="17" t="s">
        <v>174</v>
      </c>
    </row>
    <row r="105" spans="14:14" ht="21.75" customHeight="1" x14ac:dyDescent="0.25">
      <c r="N105" s="17" t="s">
        <v>175</v>
      </c>
    </row>
    <row r="106" spans="14:14" ht="21.75" customHeight="1" x14ac:dyDescent="0.25">
      <c r="N106" s="17" t="s">
        <v>176</v>
      </c>
    </row>
    <row r="107" spans="14:14" ht="21.75" customHeight="1" x14ac:dyDescent="0.25">
      <c r="N107" s="17" t="s">
        <v>177</v>
      </c>
    </row>
    <row r="108" spans="14:14" ht="21.75" customHeight="1" x14ac:dyDescent="0.25">
      <c r="N108" s="17" t="s">
        <v>178</v>
      </c>
    </row>
    <row r="109" spans="14:14" ht="21.75" customHeight="1" x14ac:dyDescent="0.25">
      <c r="N109" s="17" t="s">
        <v>179</v>
      </c>
    </row>
    <row r="110" spans="14:14" ht="21.75" customHeight="1" x14ac:dyDescent="0.25">
      <c r="N110" s="17" t="s">
        <v>180</v>
      </c>
    </row>
    <row r="111" spans="14:14" ht="21.75" customHeight="1" x14ac:dyDescent="0.25">
      <c r="N111" s="17" t="s">
        <v>181</v>
      </c>
    </row>
    <row r="112" spans="14:14" ht="21.75" customHeight="1" x14ac:dyDescent="0.25">
      <c r="N112" s="17" t="s">
        <v>182</v>
      </c>
    </row>
    <row r="113" spans="14:14" ht="21.75" customHeight="1" x14ac:dyDescent="0.25">
      <c r="N113" s="17"/>
    </row>
    <row r="114" spans="14:14" ht="21.75" customHeight="1" x14ac:dyDescent="0.25">
      <c r="N114" s="16"/>
    </row>
    <row r="115" spans="14:14" ht="21.75" customHeight="1" x14ac:dyDescent="0.25">
      <c r="N115" s="17" t="s">
        <v>183</v>
      </c>
    </row>
    <row r="116" spans="14:14" ht="21.75" customHeight="1" x14ac:dyDescent="0.25">
      <c r="N116" s="17" t="s">
        <v>184</v>
      </c>
    </row>
    <row r="117" spans="14:14" ht="21.75" customHeight="1" x14ac:dyDescent="0.25">
      <c r="N117" s="17" t="s">
        <v>185</v>
      </c>
    </row>
    <row r="118" spans="14:14" ht="21.75" customHeight="1" x14ac:dyDescent="0.25">
      <c r="N118" s="17" t="s">
        <v>186</v>
      </c>
    </row>
    <row r="119" spans="14:14" ht="21.75" customHeight="1" x14ac:dyDescent="0.25">
      <c r="N119" s="17" t="s">
        <v>187</v>
      </c>
    </row>
    <row r="120" spans="14:14" ht="21.75" customHeight="1" x14ac:dyDescent="0.25">
      <c r="N120" s="17" t="s">
        <v>188</v>
      </c>
    </row>
    <row r="121" spans="14:14" ht="21.75" customHeight="1" x14ac:dyDescent="0.25">
      <c r="N121" s="17"/>
    </row>
    <row r="122" spans="14:14" ht="21.75" customHeight="1" x14ac:dyDescent="0.25">
      <c r="N122" s="17" t="s">
        <v>189</v>
      </c>
    </row>
    <row r="123" spans="14:14" ht="21.75" customHeight="1" x14ac:dyDescent="0.25">
      <c r="N123" s="17" t="s">
        <v>190</v>
      </c>
    </row>
    <row r="124" spans="14:14" ht="21.75" customHeight="1" x14ac:dyDescent="0.25">
      <c r="N124" s="17" t="s">
        <v>191</v>
      </c>
    </row>
    <row r="125" spans="14:14" ht="21.75" customHeight="1" x14ac:dyDescent="0.25">
      <c r="N125" s="17" t="s">
        <v>192</v>
      </c>
    </row>
    <row r="126" spans="14:14" ht="21.75" customHeight="1" x14ac:dyDescent="0.25">
      <c r="N126" s="17"/>
    </row>
    <row r="127" spans="14:14" ht="21.75" customHeight="1" x14ac:dyDescent="0.25">
      <c r="N127" s="17" t="s">
        <v>193</v>
      </c>
    </row>
    <row r="128" spans="14:14" ht="21.75" customHeight="1" x14ac:dyDescent="0.25">
      <c r="N128" s="17" t="s">
        <v>194</v>
      </c>
    </row>
    <row r="129" spans="14:14" ht="21.75" customHeight="1" x14ac:dyDescent="0.25">
      <c r="N129" s="17" t="s">
        <v>195</v>
      </c>
    </row>
    <row r="130" spans="14:14" ht="21.75" customHeight="1" x14ac:dyDescent="0.25">
      <c r="N130" s="17" t="s">
        <v>196</v>
      </c>
    </row>
    <row r="131" spans="14:14" ht="21.75" customHeight="1" x14ac:dyDescent="0.25">
      <c r="N131" s="17"/>
    </row>
    <row r="132" spans="14:14" ht="21.75" customHeight="1" x14ac:dyDescent="0.25">
      <c r="N132" s="17" t="s">
        <v>197</v>
      </c>
    </row>
    <row r="133" spans="14:14" ht="21.75" customHeight="1" x14ac:dyDescent="0.25">
      <c r="N133" s="17" t="s">
        <v>198</v>
      </c>
    </row>
    <row r="134" spans="14:14" ht="21.75" customHeight="1" x14ac:dyDescent="0.25">
      <c r="N134" s="17" t="s">
        <v>199</v>
      </c>
    </row>
    <row r="135" spans="14:14" ht="21.75" customHeight="1" x14ac:dyDescent="0.25">
      <c r="N135" s="17" t="s">
        <v>200</v>
      </c>
    </row>
    <row r="136" spans="14:14" ht="21.75" customHeight="1" x14ac:dyDescent="0.25">
      <c r="N136" s="17"/>
    </row>
    <row r="137" spans="14:14" ht="21.75" customHeight="1" x14ac:dyDescent="0.25">
      <c r="N137" s="17" t="s">
        <v>201</v>
      </c>
    </row>
    <row r="138" spans="14:14" ht="21.75" customHeight="1" x14ac:dyDescent="0.25">
      <c r="N138" s="17" t="s">
        <v>202</v>
      </c>
    </row>
    <row r="139" spans="14:14" ht="21.75" customHeight="1" x14ac:dyDescent="0.25">
      <c r="N139" s="17" t="s">
        <v>203</v>
      </c>
    </row>
    <row r="140" spans="14:14" ht="21.75" customHeight="1" x14ac:dyDescent="0.25">
      <c r="N140" s="17" t="s">
        <v>204</v>
      </c>
    </row>
    <row r="141" spans="14:14" ht="21.75" customHeight="1" x14ac:dyDescent="0.25">
      <c r="N141" s="17"/>
    </row>
    <row r="142" spans="14:14" ht="21.75" customHeight="1" x14ac:dyDescent="0.25">
      <c r="N142" s="17" t="s">
        <v>205</v>
      </c>
    </row>
    <row r="143" spans="14:14" ht="21.75" customHeight="1" x14ac:dyDescent="0.25">
      <c r="N143" s="17" t="s">
        <v>206</v>
      </c>
    </row>
    <row r="144" spans="14:14" ht="21.75" customHeight="1" x14ac:dyDescent="0.25">
      <c r="N144" s="17" t="s">
        <v>207</v>
      </c>
    </row>
    <row r="145" spans="14:14" ht="21.75" customHeight="1" x14ac:dyDescent="0.25">
      <c r="N145" s="17" t="s">
        <v>208</v>
      </c>
    </row>
    <row r="146" spans="14:14" ht="21.75" customHeight="1" x14ac:dyDescent="0.25">
      <c r="N146" s="16"/>
    </row>
    <row r="147" spans="14:14" ht="21.75" customHeight="1" x14ac:dyDescent="0.25">
      <c r="N147" s="17" t="s">
        <v>209</v>
      </c>
    </row>
    <row r="148" spans="14:14" ht="21.75" customHeight="1" x14ac:dyDescent="0.25">
      <c r="N148" s="17" t="s">
        <v>210</v>
      </c>
    </row>
    <row r="149" spans="14:14" ht="21.75" customHeight="1" x14ac:dyDescent="0.25">
      <c r="N149" s="17" t="s">
        <v>211</v>
      </c>
    </row>
    <row r="150" spans="14:14" ht="21.75" customHeight="1" x14ac:dyDescent="0.25">
      <c r="N150" s="17" t="s">
        <v>212</v>
      </c>
    </row>
    <row r="151" spans="14:14" ht="21.75" customHeight="1" x14ac:dyDescent="0.25">
      <c r="N151" s="17" t="s">
        <v>213</v>
      </c>
    </row>
    <row r="152" spans="14:14" ht="21.75" customHeight="1" x14ac:dyDescent="0.25">
      <c r="N152" s="17" t="s">
        <v>214</v>
      </c>
    </row>
    <row r="153" spans="14:14" ht="21.75" customHeight="1" x14ac:dyDescent="0.25">
      <c r="N153" s="17" t="s">
        <v>215</v>
      </c>
    </row>
    <row r="154" spans="14:14" ht="21.75" customHeight="1" x14ac:dyDescent="0.25">
      <c r="N154" s="17"/>
    </row>
    <row r="155" spans="14:14" ht="21.75" customHeight="1" x14ac:dyDescent="0.25">
      <c r="N155" s="17" t="s">
        <v>216</v>
      </c>
    </row>
    <row r="156" spans="14:14" ht="21.75" customHeight="1" x14ac:dyDescent="0.25">
      <c r="N156" s="17" t="s">
        <v>217</v>
      </c>
    </row>
    <row r="157" spans="14:14" ht="21.75" customHeight="1" x14ac:dyDescent="0.25">
      <c r="N157" s="17" t="s">
        <v>218</v>
      </c>
    </row>
    <row r="158" spans="14:14" ht="21.75" customHeight="1" x14ac:dyDescent="0.25">
      <c r="N158" s="17" t="s">
        <v>219</v>
      </c>
    </row>
    <row r="159" spans="14:14" ht="21.75" customHeight="1" x14ac:dyDescent="0.25">
      <c r="N159" s="17"/>
    </row>
    <row r="160" spans="14:14" ht="21.75" customHeight="1" x14ac:dyDescent="0.25">
      <c r="N160" s="17" t="s">
        <v>220</v>
      </c>
    </row>
    <row r="161" spans="14:14" ht="21.75" customHeight="1" x14ac:dyDescent="0.25">
      <c r="N161" s="17" t="s">
        <v>221</v>
      </c>
    </row>
    <row r="162" spans="14:14" ht="21.75" customHeight="1" x14ac:dyDescent="0.25">
      <c r="N162" s="17" t="s">
        <v>222</v>
      </c>
    </row>
    <row r="163" spans="14:14" ht="21.75" customHeight="1" x14ac:dyDescent="0.25">
      <c r="N163" s="17" t="s">
        <v>223</v>
      </c>
    </row>
    <row r="164" spans="14:14" ht="21.75" customHeight="1" x14ac:dyDescent="0.25">
      <c r="N164" s="17" t="s">
        <v>224</v>
      </c>
    </row>
    <row r="165" spans="14:14" ht="21.75" customHeight="1" x14ac:dyDescent="0.25">
      <c r="N165" s="17"/>
    </row>
    <row r="166" spans="14:14" ht="21.75" customHeight="1" x14ac:dyDescent="0.25">
      <c r="N166" s="17" t="s">
        <v>225</v>
      </c>
    </row>
    <row r="167" spans="14:14" ht="21.75" customHeight="1" x14ac:dyDescent="0.25">
      <c r="N167" s="17" t="s">
        <v>226</v>
      </c>
    </row>
    <row r="168" spans="14:14" ht="21.75" customHeight="1" x14ac:dyDescent="0.25">
      <c r="N168" s="17" t="s">
        <v>227</v>
      </c>
    </row>
    <row r="169" spans="14:14" ht="21.75" customHeight="1" x14ac:dyDescent="0.25">
      <c r="N169" s="17" t="s">
        <v>228</v>
      </c>
    </row>
    <row r="170" spans="14:14" ht="21.75" customHeight="1" x14ac:dyDescent="0.25">
      <c r="N170" s="17" t="s">
        <v>229</v>
      </c>
    </row>
    <row r="171" spans="14:14" ht="21.75" customHeight="1" x14ac:dyDescent="0.25">
      <c r="N171" s="17" t="s">
        <v>230</v>
      </c>
    </row>
    <row r="172" spans="14:14" ht="21.75" customHeight="1" x14ac:dyDescent="0.25">
      <c r="N172" s="16"/>
    </row>
    <row r="173" spans="14:14" ht="21.75" customHeight="1" x14ac:dyDescent="0.25">
      <c r="N173" s="17" t="s">
        <v>231</v>
      </c>
    </row>
    <row r="174" spans="14:14" ht="21.75" customHeight="1" x14ac:dyDescent="0.25">
      <c r="N174" s="17" t="s">
        <v>232</v>
      </c>
    </row>
    <row r="175" spans="14:14" ht="21.75" customHeight="1" x14ac:dyDescent="0.25">
      <c r="N175" s="17" t="s">
        <v>233</v>
      </c>
    </row>
    <row r="176" spans="14:14" ht="21.75" customHeight="1" x14ac:dyDescent="0.25">
      <c r="N176" s="17" t="s">
        <v>234</v>
      </c>
    </row>
    <row r="177" spans="14:14" ht="21.75" customHeight="1" x14ac:dyDescent="0.25">
      <c r="N177" s="17" t="s">
        <v>235</v>
      </c>
    </row>
    <row r="178" spans="14:14" ht="21.75" customHeight="1" x14ac:dyDescent="0.25">
      <c r="N178" s="17"/>
    </row>
    <row r="179" spans="14:14" ht="21.75" customHeight="1" x14ac:dyDescent="0.25">
      <c r="N179" s="17" t="s">
        <v>236</v>
      </c>
    </row>
    <row r="180" spans="14:14" ht="21.75" customHeight="1" x14ac:dyDescent="0.25">
      <c r="N180" s="17" t="s">
        <v>237</v>
      </c>
    </row>
    <row r="181" spans="14:14" ht="21.75" customHeight="1" x14ac:dyDescent="0.25">
      <c r="N181" s="17" t="s">
        <v>238</v>
      </c>
    </row>
    <row r="182" spans="14:14" ht="21.75" customHeight="1" x14ac:dyDescent="0.25">
      <c r="N182" s="17"/>
    </row>
    <row r="183" spans="14:14" ht="21.75" customHeight="1" x14ac:dyDescent="0.25">
      <c r="N183" s="17" t="s">
        <v>239</v>
      </c>
    </row>
    <row r="184" spans="14:14" ht="21.75" customHeight="1" x14ac:dyDescent="0.25">
      <c r="N184" s="17" t="s">
        <v>240</v>
      </c>
    </row>
    <row r="185" spans="14:14" ht="21.75" customHeight="1" x14ac:dyDescent="0.25">
      <c r="N185" s="17" t="s">
        <v>241</v>
      </c>
    </row>
    <row r="186" spans="14:14" ht="21.75" customHeight="1" x14ac:dyDescent="0.25">
      <c r="N186" s="17" t="s">
        <v>242</v>
      </c>
    </row>
    <row r="187" spans="14:14" ht="21.75" customHeight="1" x14ac:dyDescent="0.25">
      <c r="N187" s="17" t="s">
        <v>243</v>
      </c>
    </row>
    <row r="188" spans="14:14" ht="21.75" customHeight="1" x14ac:dyDescent="0.25">
      <c r="N188" s="17"/>
    </row>
    <row r="189" spans="14:14" ht="21.75" customHeight="1" x14ac:dyDescent="0.25">
      <c r="N189" s="17" t="s">
        <v>244</v>
      </c>
    </row>
    <row r="190" spans="14:14" ht="21.75" customHeight="1" x14ac:dyDescent="0.25">
      <c r="N190" s="17" t="s">
        <v>245</v>
      </c>
    </row>
    <row r="191" spans="14:14" ht="21.75" customHeight="1" x14ac:dyDescent="0.25">
      <c r="N191" s="17" t="s">
        <v>246</v>
      </c>
    </row>
    <row r="192" spans="14:14" ht="21.75" customHeight="1" x14ac:dyDescent="0.25">
      <c r="N192" s="17" t="s">
        <v>247</v>
      </c>
    </row>
    <row r="193" spans="14:14" ht="21.75" customHeight="1" x14ac:dyDescent="0.25">
      <c r="N193" s="17" t="s">
        <v>248</v>
      </c>
    </row>
    <row r="194" spans="14:14" ht="21.75" customHeight="1" x14ac:dyDescent="0.25">
      <c r="N194" s="16"/>
    </row>
    <row r="195" spans="14:14" ht="21.75" customHeight="1" x14ac:dyDescent="0.25">
      <c r="N195" s="17" t="s">
        <v>249</v>
      </c>
    </row>
    <row r="196" spans="14:14" ht="21.75" customHeight="1" x14ac:dyDescent="0.25">
      <c r="N196" s="17" t="s">
        <v>250</v>
      </c>
    </row>
    <row r="197" spans="14:14" ht="21.75" customHeight="1" x14ac:dyDescent="0.25">
      <c r="N197" s="17" t="s">
        <v>251</v>
      </c>
    </row>
    <row r="198" spans="14:14" ht="21.75" customHeight="1" x14ac:dyDescent="0.25">
      <c r="N198" s="17" t="s">
        <v>252</v>
      </c>
    </row>
    <row r="199" spans="14:14" ht="21.75" customHeight="1" x14ac:dyDescent="0.25">
      <c r="N199" s="17" t="s">
        <v>253</v>
      </c>
    </row>
    <row r="200" spans="14:14" ht="21.75" customHeight="1" x14ac:dyDescent="0.25">
      <c r="N200" s="17" t="s">
        <v>254</v>
      </c>
    </row>
    <row r="201" spans="14:14" ht="21.75" customHeight="1" x14ac:dyDescent="0.25">
      <c r="N201" s="17" t="s">
        <v>255</v>
      </c>
    </row>
    <row r="202" spans="14:14" ht="21.75" customHeight="1" x14ac:dyDescent="0.25">
      <c r="N202" s="17" t="s">
        <v>256</v>
      </c>
    </row>
    <row r="203" spans="14:14" ht="21.75" customHeight="1" x14ac:dyDescent="0.25">
      <c r="N203" s="17"/>
    </row>
    <row r="204" spans="14:14" ht="21.75" customHeight="1" x14ac:dyDescent="0.25">
      <c r="N204" s="17" t="s">
        <v>257</v>
      </c>
    </row>
    <row r="205" spans="14:14" ht="21.75" customHeight="1" x14ac:dyDescent="0.25">
      <c r="N205" s="17" t="s">
        <v>258</v>
      </c>
    </row>
    <row r="206" spans="14:14" ht="21.75" customHeight="1" x14ac:dyDescent="0.25">
      <c r="N206" s="17" t="s">
        <v>259</v>
      </c>
    </row>
    <row r="207" spans="14:14" ht="21.75" customHeight="1" x14ac:dyDescent="0.25">
      <c r="N207" s="17" t="s">
        <v>260</v>
      </c>
    </row>
    <row r="208" spans="14:14" ht="21.75" customHeight="1" x14ac:dyDescent="0.25">
      <c r="N208" s="17" t="s">
        <v>261</v>
      </c>
    </row>
    <row r="209" spans="14:14" ht="21.75" customHeight="1" x14ac:dyDescent="0.25">
      <c r="N209" s="17"/>
    </row>
    <row r="210" spans="14:14" ht="21.75" customHeight="1" x14ac:dyDescent="0.25">
      <c r="N210" s="17" t="s">
        <v>262</v>
      </c>
    </row>
    <row r="211" spans="14:14" ht="21.75" customHeight="1" x14ac:dyDescent="0.25">
      <c r="N211" s="17" t="s">
        <v>263</v>
      </c>
    </row>
    <row r="212" spans="14:14" ht="21.75" customHeight="1" x14ac:dyDescent="0.25">
      <c r="N212" s="17" t="s">
        <v>264</v>
      </c>
    </row>
    <row r="213" spans="14:14" ht="21.75" customHeight="1" x14ac:dyDescent="0.25">
      <c r="N213" s="17" t="s">
        <v>265</v>
      </c>
    </row>
    <row r="214" spans="14:14" ht="21.75" customHeight="1" x14ac:dyDescent="0.25">
      <c r="N214" s="17" t="s">
        <v>266</v>
      </c>
    </row>
    <row r="215" spans="14:14" ht="21.75" customHeight="1" x14ac:dyDescent="0.25">
      <c r="N215" s="17" t="s">
        <v>267</v>
      </c>
    </row>
    <row r="216" spans="14:14" ht="21.75" customHeight="1" x14ac:dyDescent="0.25">
      <c r="N216" s="16"/>
    </row>
    <row r="217" spans="14:14" ht="21.75" customHeight="1" x14ac:dyDescent="0.25">
      <c r="N217" s="17" t="s">
        <v>268</v>
      </c>
    </row>
    <row r="218" spans="14:14" ht="21.75" customHeight="1" x14ac:dyDescent="0.25">
      <c r="N218" s="17" t="s">
        <v>269</v>
      </c>
    </row>
    <row r="219" spans="14:14" ht="21.75" customHeight="1" x14ac:dyDescent="0.25">
      <c r="N219" s="17" t="s">
        <v>270</v>
      </c>
    </row>
  </sheetData>
  <pageMargins left="0.7" right="0.7" top="0.75" bottom="0.75" header="0.3" footer="0.3"/>
  <pageSetup scale="55" orientation="portrait" useFirstPageNumber="1"/>
  <headerFooter>
    <oddHeader>&amp;L&amp;C&amp;R</oddHeader>
    <oddFooter>&amp;L&amp;C&amp;R</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EFC0A-034A-E548-27D8-02A452FD0EB4}">
  <sheetPr>
    <tabColor rgb="FF057ABF"/>
    <pageSetUpPr fitToPage="1"/>
  </sheetPr>
  <dimension ref="A1:O31"/>
  <sheetViews>
    <sheetView showGridLines="0" topLeftCell="A7" workbookViewId="0">
      <selection activeCell="B17" sqref="B17"/>
    </sheetView>
  </sheetViews>
  <sheetFormatPr defaultColWidth="9.140625" defaultRowHeight="21.75" customHeight="1" x14ac:dyDescent="0.6"/>
  <cols>
    <col min="1" max="1" width="8.5703125" style="45" customWidth="1"/>
    <col min="2" max="2" width="36.42578125" style="46" customWidth="1"/>
    <col min="3" max="3" width="60" style="46" customWidth="1"/>
    <col min="4" max="4" width="56.28515625" style="46" customWidth="1"/>
    <col min="5" max="12" width="9.140625" style="46" customWidth="1"/>
    <col min="13" max="13" width="4.140625" style="46" customWidth="1"/>
    <col min="14" max="15" width="9.140625" style="46" customWidth="1"/>
  </cols>
  <sheetData>
    <row r="1" spans="2:11" ht="40.5" customHeight="1" x14ac:dyDescent="0.6"/>
    <row r="2" spans="2:11" ht="34.5" customHeight="1" x14ac:dyDescent="0.6">
      <c r="B2" s="19" t="s">
        <v>271</v>
      </c>
      <c r="C2" s="20"/>
    </row>
    <row r="3" spans="2:11" ht="24.75" customHeight="1" x14ac:dyDescent="0.7">
      <c r="B3" s="21" t="s">
        <v>272</v>
      </c>
      <c r="C3" s="22" t="s">
        <v>273</v>
      </c>
      <c r="D3" s="23"/>
      <c r="E3" s="23"/>
      <c r="F3" s="23"/>
      <c r="G3" s="23"/>
      <c r="H3" s="23"/>
      <c r="I3" s="23"/>
      <c r="J3" s="23"/>
      <c r="K3" s="23"/>
    </row>
    <row r="4" spans="2:11" ht="24.75" customHeight="1" x14ac:dyDescent="0.7">
      <c r="B4" s="21" t="s">
        <v>274</v>
      </c>
      <c r="C4" s="22" t="s">
        <v>275</v>
      </c>
      <c r="D4" s="23"/>
      <c r="E4" s="23"/>
      <c r="F4" s="23"/>
      <c r="G4" s="23"/>
      <c r="H4" s="23"/>
      <c r="I4" s="23"/>
      <c r="J4" s="23"/>
      <c r="K4" s="23"/>
    </row>
    <row r="5" spans="2:11" ht="24.75" customHeight="1" x14ac:dyDescent="0.7">
      <c r="B5" s="21" t="s">
        <v>276</v>
      </c>
      <c r="C5" s="24">
        <v>1328</v>
      </c>
      <c r="D5" s="23"/>
      <c r="E5" s="23"/>
      <c r="F5" s="23"/>
      <c r="G5" s="23"/>
      <c r="H5" s="23"/>
      <c r="I5" s="23"/>
      <c r="J5" s="23"/>
      <c r="K5" s="23"/>
    </row>
    <row r="6" spans="2:11" ht="24.75" customHeight="1" x14ac:dyDescent="0.7">
      <c r="B6" s="21" t="s">
        <v>277</v>
      </c>
      <c r="C6" s="22" t="s">
        <v>278</v>
      </c>
      <c r="D6" s="23"/>
      <c r="E6" s="23"/>
      <c r="F6" s="23"/>
      <c r="G6" s="23"/>
      <c r="H6" s="23"/>
      <c r="I6" s="23"/>
      <c r="J6" s="23"/>
      <c r="K6" s="23"/>
    </row>
    <row r="7" spans="2:11" ht="24.75" customHeight="1" x14ac:dyDescent="0.7">
      <c r="B7" s="21" t="s">
        <v>279</v>
      </c>
      <c r="C7" s="22" t="s">
        <v>280</v>
      </c>
      <c r="D7" s="23"/>
      <c r="E7" s="23"/>
      <c r="F7" s="23"/>
      <c r="G7" s="23"/>
      <c r="H7" s="23"/>
      <c r="I7" s="23"/>
      <c r="J7" s="23"/>
      <c r="K7" s="23"/>
    </row>
    <row r="8" spans="2:11" ht="24.75" customHeight="1" x14ac:dyDescent="0.7">
      <c r="B8" s="21" t="s">
        <v>281</v>
      </c>
      <c r="C8" s="22" t="s">
        <v>282</v>
      </c>
      <c r="D8" s="23"/>
      <c r="E8" s="23"/>
      <c r="F8" s="23"/>
      <c r="G8" s="23"/>
      <c r="H8" s="23"/>
      <c r="I8" s="23"/>
      <c r="J8" s="23"/>
      <c r="K8" s="23"/>
    </row>
    <row r="9" spans="2:11" ht="24.75" customHeight="1" x14ac:dyDescent="0.7">
      <c r="B9" s="25" t="s">
        <v>283</v>
      </c>
      <c r="C9" s="26"/>
      <c r="D9" s="27" t="s">
        <v>284</v>
      </c>
      <c r="E9" s="23"/>
      <c r="F9" s="23"/>
      <c r="G9" s="23"/>
      <c r="H9" s="23"/>
      <c r="I9" s="23"/>
      <c r="J9" s="23"/>
      <c r="K9" s="23"/>
    </row>
    <row r="10" spans="2:11" ht="24.75" customHeight="1" x14ac:dyDescent="0.7">
      <c r="B10" s="25" t="s">
        <v>285</v>
      </c>
      <c r="C10" s="26"/>
      <c r="D10" s="27" t="s">
        <v>286</v>
      </c>
      <c r="E10" s="23"/>
      <c r="F10" s="23"/>
      <c r="G10" s="23"/>
      <c r="H10" s="23"/>
      <c r="I10" s="23"/>
      <c r="J10" s="23"/>
      <c r="K10" s="23"/>
    </row>
    <row r="11" spans="2:11" ht="24.75" customHeight="1" x14ac:dyDescent="0.7">
      <c r="B11" s="25" t="s">
        <v>287</v>
      </c>
      <c r="C11" s="28" t="s">
        <v>288</v>
      </c>
      <c r="D11" s="29"/>
      <c r="E11" s="23"/>
      <c r="F11" s="23"/>
      <c r="G11" s="23"/>
      <c r="H11" s="23"/>
      <c r="I11" s="23"/>
      <c r="J11" s="23"/>
      <c r="K11" s="23"/>
    </row>
    <row r="12" spans="2:11" ht="24.75" customHeight="1" x14ac:dyDescent="0.7">
      <c r="B12" s="30" t="s">
        <v>289</v>
      </c>
      <c r="C12" s="271"/>
      <c r="D12" s="272"/>
      <c r="E12" s="272"/>
      <c r="F12" s="272"/>
      <c r="G12" s="272"/>
      <c r="H12" s="272"/>
      <c r="I12" s="272"/>
      <c r="J12" s="272"/>
      <c r="K12" s="273"/>
    </row>
    <row r="13" spans="2:11" ht="24.75" customHeight="1" x14ac:dyDescent="0.7">
      <c r="B13" s="31"/>
      <c r="C13" s="274"/>
      <c r="D13" s="275"/>
      <c r="E13" s="275"/>
      <c r="F13" s="275"/>
      <c r="G13" s="275"/>
      <c r="H13" s="275"/>
      <c r="I13" s="275"/>
      <c r="J13" s="275"/>
      <c r="K13" s="276"/>
    </row>
    <row r="14" spans="2:11" ht="24.75" customHeight="1" x14ac:dyDescent="0.7">
      <c r="B14" s="32"/>
      <c r="C14" s="277"/>
      <c r="D14" s="278"/>
      <c r="E14" s="278"/>
      <c r="F14" s="278"/>
      <c r="G14" s="278"/>
      <c r="H14" s="278"/>
      <c r="I14" s="278"/>
      <c r="J14" s="278"/>
      <c r="K14" s="279"/>
    </row>
    <row r="16" spans="2:11" ht="34.5" customHeight="1" x14ac:dyDescent="0.6">
      <c r="B16" s="19" t="s">
        <v>290</v>
      </c>
      <c r="D16" s="33"/>
    </row>
    <row r="17" spans="2:4" ht="24.75" customHeight="1" x14ac:dyDescent="0.7">
      <c r="B17" s="25" t="s">
        <v>291</v>
      </c>
      <c r="C17" s="34"/>
      <c r="D17" s="34" t="s">
        <v>292</v>
      </c>
    </row>
    <row r="18" spans="2:4" ht="24.75" customHeight="1" x14ac:dyDescent="0.7">
      <c r="B18" s="25" t="s">
        <v>293</v>
      </c>
      <c r="C18" s="35"/>
      <c r="D18" s="35" t="s">
        <v>294</v>
      </c>
    </row>
    <row r="19" spans="2:4" ht="24.75" customHeight="1" x14ac:dyDescent="0.7">
      <c r="B19" s="21" t="s">
        <v>295</v>
      </c>
      <c r="C19" s="36"/>
      <c r="D19" s="36" t="s">
        <v>296</v>
      </c>
    </row>
    <row r="20" spans="2:4" ht="24.75" customHeight="1" x14ac:dyDescent="0.7">
      <c r="B20" s="21" t="s">
        <v>297</v>
      </c>
      <c r="C20" s="37"/>
      <c r="D20" s="37" t="s">
        <v>298</v>
      </c>
    </row>
    <row r="21" spans="2:4" ht="24.75" customHeight="1" x14ac:dyDescent="0.7">
      <c r="B21" s="38" t="s">
        <v>299</v>
      </c>
      <c r="C21" s="37"/>
      <c r="D21" s="37" t="s">
        <v>300</v>
      </c>
    </row>
    <row r="22" spans="2:4" ht="24.75" customHeight="1" x14ac:dyDescent="0.7">
      <c r="B22" s="38" t="s">
        <v>301</v>
      </c>
      <c r="C22" s="37"/>
      <c r="D22" s="37" t="s">
        <v>300</v>
      </c>
    </row>
    <row r="23" spans="2:4" ht="24.75" customHeight="1" x14ac:dyDescent="0.7">
      <c r="B23" s="39" t="s">
        <v>302</v>
      </c>
      <c r="C23" s="40"/>
      <c r="D23" s="37" t="s">
        <v>303</v>
      </c>
    </row>
    <row r="24" spans="2:4" ht="24.75" customHeight="1" x14ac:dyDescent="0.7">
      <c r="B24" s="41" t="s">
        <v>304</v>
      </c>
      <c r="C24" s="42"/>
      <c r="D24" s="43" t="s">
        <v>305</v>
      </c>
    </row>
    <row r="25" spans="2:4" ht="24.75" customHeight="1" x14ac:dyDescent="0.7">
      <c r="B25" s="39" t="s">
        <v>306</v>
      </c>
      <c r="C25" s="40"/>
      <c r="D25" s="37" t="s">
        <v>307</v>
      </c>
    </row>
    <row r="27" spans="2:4" ht="34.5" customHeight="1" x14ac:dyDescent="0.6">
      <c r="B27" s="19" t="s">
        <v>308</v>
      </c>
    </row>
    <row r="28" spans="2:4" ht="24.75" customHeight="1" x14ac:dyDescent="0.7">
      <c r="B28" s="25" t="s">
        <v>309</v>
      </c>
      <c r="C28" s="28" t="s">
        <v>298</v>
      </c>
    </row>
    <row r="29" spans="2:4" ht="24.75" customHeight="1" x14ac:dyDescent="0.7">
      <c r="B29" s="21" t="s">
        <v>310</v>
      </c>
      <c r="C29" s="22" t="s">
        <v>298</v>
      </c>
      <c r="D29" s="44" t="s">
        <v>311</v>
      </c>
    </row>
    <row r="30" spans="2:4" ht="24.75" customHeight="1" x14ac:dyDescent="0.7">
      <c r="B30" s="21" t="s">
        <v>312</v>
      </c>
      <c r="C30" s="43"/>
    </row>
    <row r="31" spans="2:4" ht="24.75" customHeight="1" x14ac:dyDescent="0.7">
      <c r="B31" s="38" t="s">
        <v>313</v>
      </c>
      <c r="C31" s="37"/>
    </row>
  </sheetData>
  <mergeCells count="1">
    <mergeCell ref="C12:K14"/>
  </mergeCells>
  <dataValidations count="5">
    <dataValidation type="list" allowBlank="1" showInputMessage="1" showErrorMessage="1" sqref="C20:C21" xr:uid="{00000000-0002-0000-0200-000000000000}">
      <formula1>DevFeeType</formula1>
    </dataValidation>
    <dataValidation type="list" allowBlank="1" showInputMessage="1" showErrorMessage="1" sqref="C6" xr:uid="{00000000-0002-0000-0200-000001000000}">
      <formula1>Project_Managers</formula1>
    </dataValidation>
    <dataValidation type="list" allowBlank="1" showInputMessage="1" showErrorMessage="1" sqref="C7" xr:uid="{00000000-0002-0000-0200-000002000000}">
      <formula1>rngJobStatuses</formula1>
    </dataValidation>
    <dataValidation type="list" allowBlank="1" showInputMessage="1" showErrorMessage="1" sqref="C8" xr:uid="{00000000-0002-0000-0200-000003000000}">
      <formula1>rngJobTypes</formula1>
    </dataValidation>
    <dataValidation type="list" allowBlank="1" showInputMessage="1" showErrorMessage="1" sqref="C3" xr:uid="{00000000-0002-0000-0200-000004000000}">
      <formula1>rngProperties</formula1>
    </dataValidation>
  </dataValidations>
  <pageMargins left="0.7" right="0.7" top="0.75" bottom="0.75" header="0.3" footer="0.3"/>
  <pageSetup scale="36" orientation="portrait" useFirstPageNumber="1"/>
  <headerFooter>
    <oddHeader>&amp;L&amp;C&amp;R</oddHeader>
    <oddFooter>&amp;L&amp;C&amp;R</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BD88A-AF7B-E7E3-102A-88576C1546B8}">
  <sheetPr>
    <tabColor rgb="FF057ABF"/>
    <pageSetUpPr fitToPage="1"/>
  </sheetPr>
  <dimension ref="A1:S38"/>
  <sheetViews>
    <sheetView showGridLines="0" zoomScale="85" workbookViewId="0">
      <selection activeCell="B21" sqref="B21"/>
    </sheetView>
  </sheetViews>
  <sheetFormatPr defaultColWidth="9.140625" defaultRowHeight="21.75" customHeight="1" x14ac:dyDescent="0.6"/>
  <cols>
    <col min="1" max="1" width="6.42578125" style="46" customWidth="1"/>
    <col min="2" max="2" width="49.140625" style="46" customWidth="1"/>
    <col min="3" max="3" width="44.85546875" style="46" customWidth="1"/>
    <col min="4" max="4" width="23.7109375" style="46" customWidth="1"/>
    <col min="5" max="5" width="23.42578125" style="46" customWidth="1"/>
    <col min="6" max="6" width="20.28515625" style="46" customWidth="1"/>
    <col min="7" max="7" width="20.85546875" style="46" customWidth="1"/>
    <col min="8" max="8" width="82.85546875" style="46" customWidth="1"/>
    <col min="9" max="19" width="9.140625" style="46" customWidth="1"/>
  </cols>
  <sheetData>
    <row r="1" spans="2:19" ht="8.25" customHeight="1" x14ac:dyDescent="0.6"/>
    <row r="2" spans="2:19" ht="30" customHeight="1" x14ac:dyDescent="0.95">
      <c r="B2" s="47" t="s">
        <v>314</v>
      </c>
    </row>
    <row r="3" spans="2:19" ht="30" customHeight="1" x14ac:dyDescent="0.95">
      <c r="B3" s="47" t="str">
        <f>'00_JobSetup'!$C$4</f>
        <v>40 Mall Rd Ste 206 PreTI</v>
      </c>
    </row>
    <row r="4" spans="2:19" ht="30" customHeight="1" x14ac:dyDescent="0.85">
      <c r="B4" s="48" t="str">
        <f>INDEX(tblProperties[#All],MATCH('00_JobSetup'!$C$3,tblProperties[[#All],[PropertyCode]],0),2)</f>
        <v xml:space="preserve"> 40 Mall Road</v>
      </c>
    </row>
    <row r="5" spans="2:19" ht="30" customHeight="1" x14ac:dyDescent="0.85">
      <c r="B5" s="49">
        <f>'00_JobSetup'!C5</f>
        <v>1328</v>
      </c>
      <c r="G5" s="50" t="s">
        <v>316</v>
      </c>
    </row>
    <row r="6" spans="2:19" ht="12" customHeight="1" x14ac:dyDescent="0.6"/>
    <row r="7" spans="2:19" ht="43.5" customHeight="1" x14ac:dyDescent="0.6">
      <c r="B7" s="56" t="s">
        <v>317</v>
      </c>
      <c r="C7" s="59" t="s">
        <v>318</v>
      </c>
      <c r="D7" s="61" t="s">
        <v>319</v>
      </c>
      <c r="E7" s="62" t="s">
        <v>320</v>
      </c>
      <c r="F7" s="62" t="s">
        <v>321</v>
      </c>
      <c r="G7" s="61" t="s">
        <v>322</v>
      </c>
      <c r="H7" s="67" t="s">
        <v>323</v>
      </c>
    </row>
    <row r="8" spans="2:19" ht="21.75" customHeight="1" x14ac:dyDescent="0.6">
      <c r="B8" s="57" t="s">
        <v>324</v>
      </c>
      <c r="C8" s="60" t="s">
        <v>325</v>
      </c>
      <c r="D8" s="60" t="s">
        <v>326</v>
      </c>
      <c r="E8" s="63">
        <v>4000</v>
      </c>
      <c r="F8" s="63" t="s">
        <v>327</v>
      </c>
      <c r="G8" s="65"/>
      <c r="H8" s="68"/>
    </row>
    <row r="9" spans="2:19" ht="21.75" customHeight="1" x14ac:dyDescent="0.6">
      <c r="B9" s="57" t="s">
        <v>328</v>
      </c>
      <c r="C9" s="60"/>
      <c r="D9" s="60"/>
      <c r="E9" s="63"/>
      <c r="F9" s="63"/>
      <c r="G9" s="65"/>
      <c r="H9" s="68"/>
    </row>
    <row r="10" spans="2:19" ht="21.75" customHeight="1" x14ac:dyDescent="0.6">
      <c r="B10" s="57" t="s">
        <v>329</v>
      </c>
      <c r="C10" s="60" t="s">
        <v>330</v>
      </c>
      <c r="D10" s="60" t="s">
        <v>331</v>
      </c>
      <c r="E10" s="63">
        <v>6140</v>
      </c>
      <c r="F10" s="63" t="s">
        <v>332</v>
      </c>
      <c r="G10" s="65">
        <v>45866</v>
      </c>
      <c r="H10" s="68"/>
      <c r="M10" s="46" t="s">
        <v>317</v>
      </c>
      <c r="N10" s="46" t="s">
        <v>318</v>
      </c>
      <c r="O10" s="46" t="s">
        <v>319</v>
      </c>
      <c r="P10" s="46" t="s">
        <v>320</v>
      </c>
      <c r="Q10" s="46" t="s">
        <v>321</v>
      </c>
      <c r="R10" s="46" t="s">
        <v>322</v>
      </c>
      <c r="S10" s="46" t="s">
        <v>323</v>
      </c>
    </row>
    <row r="11" spans="2:19" ht="21.75" customHeight="1" x14ac:dyDescent="0.6">
      <c r="B11" s="57" t="s">
        <v>333</v>
      </c>
      <c r="C11" s="60" t="s">
        <v>334</v>
      </c>
      <c r="D11" s="60" t="s">
        <v>331</v>
      </c>
      <c r="E11" s="63">
        <v>3900</v>
      </c>
      <c r="F11" s="63" t="s">
        <v>332</v>
      </c>
      <c r="G11" s="65">
        <v>45866</v>
      </c>
      <c r="H11" s="68"/>
    </row>
    <row r="12" spans="2:19" ht="21.75" customHeight="1" x14ac:dyDescent="0.6">
      <c r="B12" s="57" t="s">
        <v>335</v>
      </c>
      <c r="C12" s="60" t="s">
        <v>336</v>
      </c>
      <c r="D12" s="60" t="s">
        <v>337</v>
      </c>
      <c r="E12" s="63">
        <v>4000</v>
      </c>
      <c r="F12" s="63"/>
      <c r="G12" s="65"/>
      <c r="H12" s="68"/>
    </row>
    <row r="13" spans="2:19" ht="21.75" customHeight="1" x14ac:dyDescent="0.6">
      <c r="B13" s="57" t="s">
        <v>338</v>
      </c>
      <c r="C13" s="60" t="s">
        <v>339</v>
      </c>
      <c r="D13" s="60" t="s">
        <v>331</v>
      </c>
      <c r="E13" s="63">
        <v>3940</v>
      </c>
      <c r="F13" s="63" t="s">
        <v>332</v>
      </c>
      <c r="G13" s="65">
        <v>45866</v>
      </c>
      <c r="H13" s="68"/>
      <c r="M13" s="46" t="s">
        <v>317</v>
      </c>
    </row>
    <row r="14" spans="2:19" ht="21.75" customHeight="1" x14ac:dyDescent="0.6">
      <c r="B14" s="57" t="s">
        <v>338</v>
      </c>
      <c r="C14" s="60" t="s">
        <v>339</v>
      </c>
      <c r="D14" s="60" t="s">
        <v>340</v>
      </c>
      <c r="E14" s="63">
        <v>1000</v>
      </c>
      <c r="F14" s="63" t="s">
        <v>332</v>
      </c>
      <c r="G14" s="65"/>
      <c r="H14" s="68"/>
      <c r="M14" s="46" t="s">
        <v>318</v>
      </c>
    </row>
    <row r="15" spans="2:19" ht="21.75" customHeight="1" x14ac:dyDescent="0.6">
      <c r="B15" s="57" t="s">
        <v>341</v>
      </c>
      <c r="C15" s="60" t="s">
        <v>342</v>
      </c>
      <c r="D15" s="60" t="s">
        <v>331</v>
      </c>
      <c r="E15" s="63">
        <v>10100</v>
      </c>
      <c r="F15" s="63" t="s">
        <v>332</v>
      </c>
      <c r="G15" s="65">
        <v>45866</v>
      </c>
      <c r="H15" s="68"/>
      <c r="M15" s="46" t="s">
        <v>319</v>
      </c>
    </row>
    <row r="16" spans="2:19" ht="21.75" customHeight="1" x14ac:dyDescent="0.6">
      <c r="B16" s="57" t="s">
        <v>343</v>
      </c>
      <c r="C16" s="60" t="s">
        <v>344</v>
      </c>
      <c r="D16" s="60" t="s">
        <v>331</v>
      </c>
      <c r="E16" s="63">
        <v>3100</v>
      </c>
      <c r="F16" s="63" t="s">
        <v>332</v>
      </c>
      <c r="G16" s="65">
        <v>45866</v>
      </c>
      <c r="H16" s="68"/>
      <c r="M16" s="46" t="s">
        <v>320</v>
      </c>
    </row>
    <row r="17" spans="2:13" ht="21.75" customHeight="1" x14ac:dyDescent="0.6">
      <c r="B17" s="57" t="s">
        <v>345</v>
      </c>
      <c r="C17" s="60" t="s">
        <v>346</v>
      </c>
      <c r="D17" s="60" t="s">
        <v>331</v>
      </c>
      <c r="E17" s="63">
        <v>1806</v>
      </c>
      <c r="F17" s="63" t="s">
        <v>332</v>
      </c>
      <c r="G17" s="65">
        <v>45866</v>
      </c>
      <c r="H17" s="68"/>
      <c r="M17" s="46" t="s">
        <v>321</v>
      </c>
    </row>
    <row r="18" spans="2:13" ht="21.75" customHeight="1" x14ac:dyDescent="0.6">
      <c r="B18" s="57" t="s">
        <v>345</v>
      </c>
      <c r="C18" s="60" t="s">
        <v>346</v>
      </c>
      <c r="D18" s="60" t="s">
        <v>340</v>
      </c>
      <c r="E18" s="63">
        <v>1806</v>
      </c>
      <c r="F18" s="63" t="s">
        <v>332</v>
      </c>
      <c r="G18" s="65">
        <v>45866</v>
      </c>
      <c r="H18" s="68" t="s">
        <v>347</v>
      </c>
      <c r="M18" s="46" t="s">
        <v>323</v>
      </c>
    </row>
    <row r="19" spans="2:13" ht="21.75" customHeight="1" x14ac:dyDescent="0.6">
      <c r="B19" s="57" t="s">
        <v>348</v>
      </c>
      <c r="C19" s="60" t="s">
        <v>349</v>
      </c>
      <c r="D19" s="60" t="s">
        <v>331</v>
      </c>
      <c r="E19" s="63">
        <v>500</v>
      </c>
      <c r="F19" s="63" t="s">
        <v>332</v>
      </c>
      <c r="G19" s="65">
        <v>45866</v>
      </c>
      <c r="H19" s="68"/>
    </row>
    <row r="20" spans="2:13" ht="21.75" customHeight="1" x14ac:dyDescent="0.6">
      <c r="B20" s="57" t="s">
        <v>350</v>
      </c>
      <c r="C20" s="60" t="s">
        <v>351</v>
      </c>
      <c r="D20" s="60"/>
      <c r="E20" s="63"/>
      <c r="F20" s="63"/>
      <c r="G20" s="65"/>
      <c r="H20" s="68"/>
    </row>
    <row r="21" spans="2:13" ht="21.75" customHeight="1" x14ac:dyDescent="0.6">
      <c r="B21" s="57" t="s">
        <v>352</v>
      </c>
      <c r="C21" s="60" t="s">
        <v>353</v>
      </c>
      <c r="D21" s="60" t="s">
        <v>331</v>
      </c>
      <c r="E21" s="63">
        <v>9325</v>
      </c>
      <c r="F21" s="63" t="s">
        <v>332</v>
      </c>
      <c r="G21" s="65">
        <v>45866</v>
      </c>
      <c r="H21" s="68"/>
    </row>
    <row r="22" spans="2:13" ht="21.75" customHeight="1" x14ac:dyDescent="0.6">
      <c r="B22" s="57" t="s">
        <v>354</v>
      </c>
      <c r="C22" s="60"/>
      <c r="D22" s="60"/>
      <c r="E22" s="63"/>
      <c r="F22" s="63"/>
      <c r="G22" s="65"/>
      <c r="H22" s="68"/>
    </row>
    <row r="23" spans="2:13" ht="21.75" customHeight="1" x14ac:dyDescent="0.6">
      <c r="B23" s="57"/>
      <c r="C23" s="60"/>
      <c r="D23" s="60"/>
      <c r="E23" s="63"/>
      <c r="F23" s="63"/>
      <c r="G23" s="65"/>
      <c r="H23" s="68"/>
    </row>
    <row r="24" spans="2:13" ht="21.75" customHeight="1" x14ac:dyDescent="0.6">
      <c r="B24" s="57"/>
      <c r="C24" s="60"/>
      <c r="D24" s="60"/>
      <c r="E24" s="63"/>
      <c r="F24" s="63"/>
      <c r="G24" s="65"/>
      <c r="H24" s="68"/>
    </row>
    <row r="25" spans="2:13" ht="21.75" customHeight="1" x14ac:dyDescent="0.6">
      <c r="B25" s="57"/>
      <c r="C25" s="60"/>
      <c r="D25" s="60"/>
      <c r="E25" s="63"/>
      <c r="F25" s="63"/>
      <c r="G25" s="65"/>
      <c r="H25" s="68"/>
    </row>
    <row r="26" spans="2:13" ht="21.75" customHeight="1" x14ac:dyDescent="0.6">
      <c r="B26" s="57"/>
      <c r="C26" s="60"/>
      <c r="D26" s="60"/>
      <c r="E26" s="63"/>
      <c r="F26" s="63"/>
      <c r="G26" s="65"/>
      <c r="H26" s="68"/>
    </row>
    <row r="27" spans="2:13" ht="21.75" customHeight="1" x14ac:dyDescent="0.6">
      <c r="B27" s="57"/>
      <c r="C27" s="60"/>
      <c r="D27" s="60"/>
      <c r="E27" s="63"/>
      <c r="F27" s="63"/>
      <c r="G27" s="65"/>
      <c r="H27" s="68"/>
    </row>
    <row r="28" spans="2:13" ht="21.75" customHeight="1" x14ac:dyDescent="0.6">
      <c r="B28" s="57"/>
      <c r="C28" s="60"/>
      <c r="D28" s="60"/>
      <c r="E28" s="63"/>
      <c r="F28" s="63"/>
      <c r="G28" s="65"/>
      <c r="H28" s="68"/>
    </row>
    <row r="29" spans="2:13" ht="21.75" customHeight="1" x14ac:dyDescent="0.6">
      <c r="B29" s="57"/>
      <c r="C29" s="60"/>
      <c r="D29" s="60"/>
      <c r="E29" s="63"/>
      <c r="F29" s="63"/>
      <c r="G29" s="65"/>
      <c r="H29" s="68"/>
    </row>
    <row r="30" spans="2:13" ht="21.75" customHeight="1" x14ac:dyDescent="0.6">
      <c r="B30" s="57"/>
      <c r="C30" s="60"/>
      <c r="D30" s="60"/>
      <c r="E30" s="63"/>
      <c r="F30" s="63"/>
      <c r="G30" s="65"/>
      <c r="H30" s="68"/>
    </row>
    <row r="31" spans="2:13" ht="21.75" customHeight="1" x14ac:dyDescent="0.6">
      <c r="B31" s="57"/>
      <c r="C31" s="60"/>
      <c r="D31" s="60"/>
      <c r="E31" s="63"/>
      <c r="F31" s="63"/>
      <c r="G31" s="65"/>
      <c r="H31" s="68"/>
    </row>
    <row r="32" spans="2:13" ht="21.75" customHeight="1" x14ac:dyDescent="0.6">
      <c r="B32" s="57"/>
      <c r="C32" s="60"/>
      <c r="D32" s="60"/>
      <c r="E32" s="63"/>
      <c r="F32" s="63"/>
      <c r="G32" s="65"/>
      <c r="H32" s="68"/>
    </row>
    <row r="33" spans="2:8" ht="21.75" customHeight="1" x14ac:dyDescent="0.6">
      <c r="B33" s="57"/>
      <c r="C33" s="60"/>
      <c r="D33" s="60"/>
      <c r="E33" s="63"/>
      <c r="F33" s="63"/>
      <c r="G33" s="65"/>
      <c r="H33" s="68"/>
    </row>
    <row r="34" spans="2:8" ht="21.75" customHeight="1" x14ac:dyDescent="0.6">
      <c r="B34" s="57"/>
      <c r="C34" s="60"/>
      <c r="D34" s="60"/>
      <c r="E34" s="63"/>
      <c r="F34" s="63"/>
      <c r="G34" s="65"/>
      <c r="H34" s="68"/>
    </row>
    <row r="35" spans="2:8" ht="21.75" customHeight="1" x14ac:dyDescent="0.6">
      <c r="B35" s="58"/>
      <c r="C35" s="60"/>
      <c r="D35" s="60"/>
      <c r="E35" s="64"/>
      <c r="F35" s="64"/>
      <c r="G35" s="66"/>
      <c r="H35" s="68"/>
    </row>
    <row r="36" spans="2:8" ht="21.75" customHeight="1" x14ac:dyDescent="0.6">
      <c r="B36" s="58"/>
      <c r="C36" s="60"/>
      <c r="D36" s="60"/>
      <c r="E36" s="64"/>
      <c r="F36" s="64"/>
      <c r="G36" s="66"/>
      <c r="H36" s="68"/>
    </row>
    <row r="37" spans="2:8" ht="22.5" customHeight="1" x14ac:dyDescent="0.6">
      <c r="B37" s="58"/>
      <c r="C37" s="60"/>
      <c r="D37" s="60"/>
      <c r="E37" s="64"/>
      <c r="F37" s="64"/>
      <c r="G37" s="66"/>
      <c r="H37" s="68"/>
    </row>
    <row r="38" spans="2:8" ht="26.25" customHeight="1" x14ac:dyDescent="0.7">
      <c r="B38" s="51"/>
      <c r="C38" s="52"/>
      <c r="D38" s="53" t="s">
        <v>355</v>
      </c>
      <c r="E38" s="52">
        <f>SUBTOTAL(109,tblForecastLog[Forecasted Cost Amount])</f>
        <v>49617</v>
      </c>
      <c r="F38" s="52"/>
      <c r="G38" s="54"/>
      <c r="H38" s="55"/>
    </row>
  </sheetData>
  <dataValidations count="4">
    <dataValidation type="list" allowBlank="1" showInputMessage="1" showErrorMessage="1" sqref="F8:F37" xr:uid="{00000000-0002-0000-0300-000000000000}">
      <formula1>Forecast_Status</formula1>
    </dataValidation>
    <dataValidation type="list" allowBlank="1" showInputMessage="1" showErrorMessage="1" sqref="D8:D37" xr:uid="{00000000-0002-0000-0300-000001000000}">
      <formula1>FORECAST_TYPE</formula1>
    </dataValidation>
    <dataValidation type="list" allowBlank="1" showInputMessage="1" showErrorMessage="1" sqref="B8:B37" xr:uid="{00000000-0002-0000-0300-000002000000}">
      <formula1>VENDORS</formula1>
    </dataValidation>
    <dataValidation type="list" allowBlank="1" showInputMessage="1" showErrorMessage="1" sqref="C8:C37" xr:uid="{00000000-0002-0000-0300-000003000000}">
      <formula1>CATEGORIES</formula1>
    </dataValidation>
  </dataValidations>
  <pageMargins left="0.7" right="0.7" top="0.75" bottom="0.75" header="0.3" footer="0.3"/>
  <pageSetup scale="32" orientation="portrait" useFirstPageNumber="1"/>
  <headerFooter>
    <oddHeader>&amp;L&amp;C&amp;R</oddHeader>
    <oddFooter>&amp;L&amp;C&amp;R</oddFooter>
  </headerFooter>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F0688-AF4C-8E63-0196-BC527758E388}">
  <sheetPr>
    <tabColor theme="2" tint="-0.749992370372631"/>
    <pageSetUpPr fitToPage="1"/>
  </sheetPr>
  <dimension ref="A1:N92"/>
  <sheetViews>
    <sheetView showGridLines="0" zoomScale="85" workbookViewId="0">
      <pane ySplit="7" topLeftCell="A8" activePane="bottomLeft" state="frozen"/>
      <selection pane="bottomLeft" activeCell="F14" sqref="F14"/>
    </sheetView>
  </sheetViews>
  <sheetFormatPr defaultColWidth="9.140625" defaultRowHeight="21.75" customHeight="1" x14ac:dyDescent="0.6"/>
  <cols>
    <col min="1" max="1" width="6.85546875" style="46" customWidth="1"/>
    <col min="2" max="2" width="11" style="46" customWidth="1"/>
    <col min="3" max="3" width="51.5703125" style="91" customWidth="1"/>
    <col min="4" max="9" width="18.7109375" style="46" customWidth="1"/>
    <col min="10" max="10" width="77.28515625" style="46" customWidth="1"/>
    <col min="11" max="12" width="18.7109375" style="46" customWidth="1"/>
    <col min="13" max="13" width="7.140625" style="46" customWidth="1"/>
    <col min="14" max="14" width="9.140625" style="46" customWidth="1"/>
    <col min="16" max="16" width="8.7109375" customWidth="1"/>
  </cols>
  <sheetData>
    <row r="1" spans="1:13" ht="15" customHeight="1" x14ac:dyDescent="0.6">
      <c r="A1" s="69"/>
      <c r="B1" s="69"/>
      <c r="C1" s="70"/>
      <c r="D1" s="69"/>
      <c r="E1" s="69"/>
      <c r="F1" s="69"/>
      <c r="G1" s="69"/>
      <c r="H1" s="69"/>
      <c r="I1" s="69"/>
      <c r="J1" s="69"/>
      <c r="K1" s="69"/>
      <c r="L1" s="69"/>
      <c r="M1" s="69"/>
    </row>
    <row r="2" spans="1:13" ht="15" customHeight="1" x14ac:dyDescent="0.6">
      <c r="A2" s="69"/>
      <c r="B2" s="69"/>
      <c r="C2" s="70" t="s">
        <v>356</v>
      </c>
      <c r="D2" s="69"/>
      <c r="E2" s="69"/>
      <c r="F2" s="69"/>
      <c r="G2" s="69"/>
      <c r="H2" s="69"/>
      <c r="I2" s="69"/>
      <c r="J2" s="69"/>
      <c r="K2" s="69"/>
      <c r="L2" s="69"/>
      <c r="M2" s="69"/>
    </row>
    <row r="3" spans="1:13" ht="15" customHeight="1" x14ac:dyDescent="0.6">
      <c r="A3" s="69"/>
      <c r="B3" s="69"/>
      <c r="C3" s="70" t="str">
        <f>'00_JobSetup'!C4</f>
        <v>40 Mall Rd Ste 206 PreTI</v>
      </c>
      <c r="D3" s="69"/>
      <c r="E3" s="69"/>
      <c r="F3" s="69"/>
      <c r="G3" s="69"/>
      <c r="H3" s="69"/>
      <c r="I3" s="69"/>
      <c r="J3" s="69"/>
      <c r="K3" s="69"/>
      <c r="L3" s="69"/>
      <c r="M3" s="69"/>
    </row>
    <row r="4" spans="1:13" ht="15" customHeight="1" x14ac:dyDescent="0.6">
      <c r="A4" s="69"/>
      <c r="B4" s="69"/>
      <c r="C4" s="70" t="str">
        <f>INDEX(tblProperties[#All],MATCH('00_JobSetup'!$C$3,tblProperties[[#All],[PropertyCode]],0),2)</f>
        <v xml:space="preserve"> 40 Mall Road</v>
      </c>
      <c r="D4" s="69"/>
      <c r="E4" s="69"/>
      <c r="F4" s="69"/>
      <c r="G4" s="69"/>
      <c r="H4" s="69"/>
      <c r="I4" s="69"/>
      <c r="J4" s="69"/>
      <c r="K4" s="69"/>
      <c r="L4" s="69"/>
      <c r="M4" s="69"/>
    </row>
    <row r="5" spans="1:13" ht="15" customHeight="1" x14ac:dyDescent="0.6">
      <c r="A5" s="69"/>
      <c r="B5" s="69"/>
      <c r="C5" s="70">
        <f>'00_JobSetup'!C5</f>
        <v>1328</v>
      </c>
      <c r="D5" s="69"/>
      <c r="E5" s="69"/>
      <c r="F5" s="69"/>
      <c r="G5" s="69"/>
      <c r="H5" s="69"/>
      <c r="I5" s="69"/>
      <c r="J5" s="69"/>
      <c r="K5" s="69"/>
      <c r="L5" s="69"/>
      <c r="M5" s="69"/>
    </row>
    <row r="6" spans="1:13" ht="21.75" customHeight="1" x14ac:dyDescent="0.6">
      <c r="C6" s="46"/>
      <c r="D6" s="71"/>
      <c r="E6" s="71"/>
      <c r="F6" s="71"/>
      <c r="G6" s="72"/>
      <c r="H6" s="72"/>
      <c r="I6" s="71"/>
      <c r="J6" s="71"/>
      <c r="K6" s="72"/>
      <c r="L6" s="72"/>
    </row>
    <row r="7" spans="1:13" ht="46.5" customHeight="1" x14ac:dyDescent="0.65">
      <c r="C7" s="73" t="s">
        <v>357</v>
      </c>
      <c r="D7" s="74" t="s">
        <v>331</v>
      </c>
      <c r="E7" s="75" t="s">
        <v>358</v>
      </c>
      <c r="F7" s="75" t="s">
        <v>359</v>
      </c>
      <c r="G7" s="74" t="s">
        <v>360</v>
      </c>
      <c r="H7" s="74" t="s">
        <v>361</v>
      </c>
      <c r="I7" s="74" t="s">
        <v>362</v>
      </c>
      <c r="J7" s="76" t="s">
        <v>363</v>
      </c>
    </row>
    <row r="8" spans="1:13" ht="21.75" customHeight="1" x14ac:dyDescent="0.6">
      <c r="A8" s="46" t="s">
        <v>324</v>
      </c>
      <c r="B8" s="46" t="str" cm="1">
        <f t="array" ref="B8">_xlfn.LET(_xlpm.idx,ROW()-ROW('04_VendorDetail'!$C$7),IFERROR(INDEX(Vendor_Name_index,_xlpm.idx),""))</f>
        <v/>
      </c>
      <c r="C8" s="77" t="e" cm="1">
        <f t="array" aca="1" ref="C8" ca="1">_xlfn.LET(_xlpm.trig,RAND()*0,_xlpm.flList,_xlfn._xlws.FILTER(tblForecastLog[Vendor],tblForecastLog[Vendor]&lt;&gt;""),_xlpm.cubeSet,CUBESET("ThisWorkbookDataModel","[Fact_JobDetail].[_Vendor].Members"),_xlpm.setCnt,CUBESETCOUNT(_xlpm.cubeSet),_xlpm.dmRaw,_xlfn.MAP(_xlfn.SEQUENCE(_xlpm.setCnt),_xlfn.LAMBDA(_xlpm.i,IFERROR(CUBERANKEDMEMBER("ThisWorkbookDataModel",_xlpm.cubeSet,_xlpm.i),""))),_xlpm.dmList,_xlfn._xlws.FILTER(_xlpm.dmRaw,(_xlpm.dmRaw&lt;&gt;"")*(_xlpm.dmRaw&lt;&gt;"All")),_xlpm.combined,_xlfn.VSTACK(_xlpm.flList,_xlpm.dmList),_xlfn._xlws.SORT(_xlfn.UNIQUE(_xlpm.combined)))</f>
        <v>#N/A</v>
      </c>
      <c r="D8" s="78">
        <f>SUMIFS(tblForecastLog[Forecasted Cost Amount],tblForecastLog[Vendor],A8,tblForecastLog[Forecasted Cost Type],"Subcontract")</f>
        <v>0</v>
      </c>
      <c r="E8" s="79" cm="1">
        <f t="array" ref="E8">SUMPRODUCT((tblForecastLog[Vendor]=A8)*(ISNUMBER(SEARCH("CO",tblForecastLog[Forecasted Cost Type])))*(tblForecastLog[Forecasted Cost Amount]))+SUMIFS(tblForecastLog[Forecasted Cost Amount],tblForecastLog[Vendor],A8,tblForecastLog[Forecasted Cost Type],"Change Order")</f>
        <v>0</v>
      </c>
      <c r="F8" s="79">
        <f>SUMIFS(tblForecastLog[Forecasted Cost Amount],tblForecastLog[Vendor],A8,tblForecastLog[Forecasted Cost Type],"Purchase Order")</f>
        <v>0</v>
      </c>
      <c r="G8" s="78">
        <f t="shared" ref="G8:G21" si="0">SUM(D8:F8)</f>
        <v>0</v>
      </c>
      <c r="H8" s="78">
        <f>SUMIF(tblForecastLog[Vendor],A8,tblForecastLog[Forecasted Cost Amount])</f>
        <v>4000</v>
      </c>
      <c r="I8" s="80">
        <f t="shared" ref="I8:I25" ca="1" si="1">_xlfn.IFNA(CUBEVALUE("ThisWorkbookDataModel","[Measures].[Amount by Vendor]",CUBEMEMBER("ThisWorkbookDataModel","[Fact_JobDetail].[_Vendor].&amp;["&amp;TRIM($C8)&amp;"]")),0)</f>
        <v>0</v>
      </c>
      <c r="J8" s="81"/>
    </row>
    <row r="9" spans="1:13" ht="21.75" customHeight="1" x14ac:dyDescent="0.6">
      <c r="A9" s="46" t="s">
        <v>328</v>
      </c>
      <c r="C9" s="77"/>
      <c r="D9" s="78">
        <f>SUMIFS(tblForecastLog[Forecasted Cost Amount],tblForecastLog[Vendor],A9,tblForecastLog[Forecasted Cost Type],"Subcontract")</f>
        <v>0</v>
      </c>
      <c r="E9" s="79" cm="1">
        <f t="array" ref="E9">SUMPRODUCT((tblForecastLog[Vendor]=A9)*(ISNUMBER(SEARCH("CO",tblForecastLog[Forecasted Cost Type])))*(tblForecastLog[Forecasted Cost Amount]))+SUMIFS(tblForecastLog[Forecasted Cost Amount],tblForecastLog[Vendor],A9,tblForecastLog[Forecasted Cost Type],"Change Order")</f>
        <v>0</v>
      </c>
      <c r="F9" s="79">
        <f>SUMIFS(tblForecastLog[Forecasted Cost Amount],tblForecastLog[Vendor],A9,tblForecastLog[Forecasted Cost Type],"Purchase Order")</f>
        <v>0</v>
      </c>
      <c r="G9" s="78">
        <f t="shared" si="0"/>
        <v>0</v>
      </c>
      <c r="H9" s="78">
        <f>SUMIF(tblForecastLog[Vendor],A9,tblForecastLog[Forecasted Cost Amount])</f>
        <v>0</v>
      </c>
      <c r="I9" s="80">
        <f t="shared" si="1"/>
        <v>0</v>
      </c>
      <c r="J9" s="81"/>
    </row>
    <row r="10" spans="1:13" ht="21.75" customHeight="1" x14ac:dyDescent="0.6">
      <c r="A10" s="46" t="s">
        <v>329</v>
      </c>
      <c r="C10" s="77"/>
      <c r="D10" s="78">
        <f>SUMIFS(tblForecastLog[Forecasted Cost Amount],tblForecastLog[Vendor],A10,tblForecastLog[Forecasted Cost Type],"Subcontract")</f>
        <v>6140</v>
      </c>
      <c r="E10" s="79" cm="1">
        <f t="array" ref="E10">SUMPRODUCT((tblForecastLog[Vendor]=A10)*(ISNUMBER(SEARCH("CO",tblForecastLog[Forecasted Cost Type])))*(tblForecastLog[Forecasted Cost Amount]))+SUMIFS(tblForecastLog[Forecasted Cost Amount],tblForecastLog[Vendor],A10,tblForecastLog[Forecasted Cost Type],"Change Order")</f>
        <v>6140</v>
      </c>
      <c r="F10" s="79">
        <f>SUMIFS(tblForecastLog[Forecasted Cost Amount],tblForecastLog[Vendor],A10,tblForecastLog[Forecasted Cost Type],"Purchase Order")</f>
        <v>0</v>
      </c>
      <c r="G10" s="78">
        <f t="shared" si="0"/>
        <v>12280</v>
      </c>
      <c r="H10" s="78">
        <f>SUMIF(tblForecastLog[Vendor],A10,tblForecastLog[Forecasted Cost Amount])</f>
        <v>6140</v>
      </c>
      <c r="I10" s="80">
        <f t="shared" si="1"/>
        <v>0</v>
      </c>
      <c r="J10" s="81"/>
    </row>
    <row r="11" spans="1:13" ht="21.75" customHeight="1" x14ac:dyDescent="0.6">
      <c r="A11" s="46" t="s">
        <v>333</v>
      </c>
      <c r="C11" s="77"/>
      <c r="D11" s="78">
        <f>SUMIFS(tblForecastLog[Forecasted Cost Amount],tblForecastLog[Vendor],A11,tblForecastLog[Forecasted Cost Type],"Subcontract")</f>
        <v>3900</v>
      </c>
      <c r="E11" s="79" cm="1">
        <f t="array" ref="E11">SUMPRODUCT((tblForecastLog[Vendor]=A11)*(ISNUMBER(SEARCH("CO",tblForecastLog[Forecasted Cost Type])))*(tblForecastLog[Forecasted Cost Amount]))+SUMIFS(tblForecastLog[Forecasted Cost Amount],tblForecastLog[Vendor],A11,tblForecastLog[Forecasted Cost Type],"Change Order")</f>
        <v>3900</v>
      </c>
      <c r="F11" s="79">
        <f>SUMIFS(tblForecastLog[Forecasted Cost Amount],tblForecastLog[Vendor],A11,tblForecastLog[Forecasted Cost Type],"Purchase Order")</f>
        <v>0</v>
      </c>
      <c r="G11" s="78">
        <f t="shared" si="0"/>
        <v>7800</v>
      </c>
      <c r="H11" s="78">
        <f>SUMIF(tblForecastLog[Vendor],A11,tblForecastLog[Forecasted Cost Amount])</f>
        <v>3900</v>
      </c>
      <c r="I11" s="80">
        <f t="shared" si="1"/>
        <v>0</v>
      </c>
      <c r="J11" s="81"/>
    </row>
    <row r="12" spans="1:13" ht="21.75" customHeight="1" x14ac:dyDescent="0.6">
      <c r="A12" s="46" t="s">
        <v>335</v>
      </c>
      <c r="C12" s="77"/>
      <c r="D12" s="78">
        <f>SUMIFS(tblForecastLog[Forecasted Cost Amount],tblForecastLog[Vendor],A12,tblForecastLog[Forecasted Cost Type],"Subcontract")</f>
        <v>0</v>
      </c>
      <c r="E12" s="79" cm="1">
        <f t="array" ref="E12">SUMPRODUCT((tblForecastLog[Vendor]=A12)*(ISNUMBER(SEARCH("CO",tblForecastLog[Forecasted Cost Type])))*(tblForecastLog[Forecasted Cost Amount]))+SUMIFS(tblForecastLog[Forecasted Cost Amount],tblForecastLog[Vendor],A12,tblForecastLog[Forecasted Cost Type],"Change Order")</f>
        <v>0</v>
      </c>
      <c r="F12" s="79">
        <f>SUMIFS(tblForecastLog[Forecasted Cost Amount],tblForecastLog[Vendor],A12,tblForecastLog[Forecasted Cost Type],"Purchase Order")</f>
        <v>4000</v>
      </c>
      <c r="G12" s="78">
        <f t="shared" si="0"/>
        <v>4000</v>
      </c>
      <c r="H12" s="78">
        <f>SUMIF(tblForecastLog[Vendor],A12,tblForecastLog[Forecasted Cost Amount])</f>
        <v>4000</v>
      </c>
      <c r="I12" s="80">
        <f t="shared" si="1"/>
        <v>0</v>
      </c>
      <c r="J12" s="81"/>
    </row>
    <row r="13" spans="1:13" ht="21.75" customHeight="1" x14ac:dyDescent="0.6">
      <c r="A13" s="46" t="s">
        <v>338</v>
      </c>
      <c r="C13" s="77"/>
      <c r="D13" s="78">
        <f>SUMIFS(tblForecastLog[Forecasted Cost Amount],tblForecastLog[Vendor],A13,tblForecastLog[Forecasted Cost Type],"Subcontract")</f>
        <v>3940</v>
      </c>
      <c r="E13" s="79" cm="1">
        <f t="array" ref="E13">SUMPRODUCT((tblForecastLog[Vendor]=A13)*(ISNUMBER(SEARCH("CO",tblForecastLog[Forecasted Cost Type])))*(tblForecastLog[Forecasted Cost Amount]))+SUMIFS(tblForecastLog[Forecasted Cost Amount],tblForecastLog[Vendor],A13,tblForecastLog[Forecasted Cost Type],"Change Order")</f>
        <v>4940</v>
      </c>
      <c r="F13" s="79">
        <f>SUMIFS(tblForecastLog[Forecasted Cost Amount],tblForecastLog[Vendor],A13,tblForecastLog[Forecasted Cost Type],"Purchase Order")</f>
        <v>0</v>
      </c>
      <c r="G13" s="78">
        <f t="shared" si="0"/>
        <v>8880</v>
      </c>
      <c r="H13" s="78">
        <f>SUMIF(tblForecastLog[Vendor],A13,tblForecastLog[Forecasted Cost Amount])</f>
        <v>4940</v>
      </c>
      <c r="I13" s="80">
        <f t="shared" si="1"/>
        <v>0</v>
      </c>
      <c r="J13" s="81"/>
    </row>
    <row r="14" spans="1:13" ht="21.75" customHeight="1" x14ac:dyDescent="0.6">
      <c r="A14" s="46" t="s">
        <v>341</v>
      </c>
      <c r="C14" s="77"/>
      <c r="D14" s="78">
        <f>SUMIFS(tblForecastLog[Forecasted Cost Amount],tblForecastLog[Vendor],A14,tblForecastLog[Forecasted Cost Type],"Subcontract")</f>
        <v>10100</v>
      </c>
      <c r="E14" s="79" cm="1">
        <f t="array" ref="E14">SUMPRODUCT((tblForecastLog[Vendor]=A14)*(ISNUMBER(SEARCH("CO",tblForecastLog[Forecasted Cost Type])))*(tblForecastLog[Forecasted Cost Amount]))+SUMIFS(tblForecastLog[Forecasted Cost Amount],tblForecastLog[Vendor],A14,tblForecastLog[Forecasted Cost Type],"Change Order")</f>
        <v>10100</v>
      </c>
      <c r="F14" s="79">
        <f>SUMIFS(tblForecastLog[Forecasted Cost Amount],tblForecastLog[Vendor],A14,tblForecastLog[Forecasted Cost Type],"Purchase Order")</f>
        <v>0</v>
      </c>
      <c r="G14" s="78">
        <f t="shared" si="0"/>
        <v>20200</v>
      </c>
      <c r="H14" s="78">
        <f>SUMIF(tblForecastLog[Vendor],A14,tblForecastLog[Forecasted Cost Amount])</f>
        <v>10100</v>
      </c>
      <c r="I14" s="80">
        <f t="shared" si="1"/>
        <v>0</v>
      </c>
      <c r="J14" s="81"/>
    </row>
    <row r="15" spans="1:13" ht="21.75" customHeight="1" x14ac:dyDescent="0.6">
      <c r="A15" s="46" t="s">
        <v>343</v>
      </c>
      <c r="C15" s="77"/>
      <c r="D15" s="78">
        <f>SUMIFS(tblForecastLog[Forecasted Cost Amount],tblForecastLog[Vendor],A15,tblForecastLog[Forecasted Cost Type],"Subcontract")</f>
        <v>3100</v>
      </c>
      <c r="E15" s="79" cm="1">
        <f t="array" ref="E15">SUMPRODUCT((tblForecastLog[Vendor]=A15)*(ISNUMBER(SEARCH("CO",tblForecastLog[Forecasted Cost Type])))*(tblForecastLog[Forecasted Cost Amount]))+SUMIFS(tblForecastLog[Forecasted Cost Amount],tblForecastLog[Vendor],A15,tblForecastLog[Forecasted Cost Type],"Change Order")</f>
        <v>3100</v>
      </c>
      <c r="F15" s="79">
        <f>SUMIFS(tblForecastLog[Forecasted Cost Amount],tblForecastLog[Vendor],A15,tblForecastLog[Forecasted Cost Type],"Purchase Order")</f>
        <v>0</v>
      </c>
      <c r="G15" s="78">
        <f t="shared" si="0"/>
        <v>6200</v>
      </c>
      <c r="H15" s="78">
        <f>SUMIF(tblForecastLog[Vendor],A15,tblForecastLog[Forecasted Cost Amount])</f>
        <v>3100</v>
      </c>
      <c r="I15" s="80">
        <f t="shared" si="1"/>
        <v>0</v>
      </c>
      <c r="J15" s="81"/>
    </row>
    <row r="16" spans="1:13" ht="21.75" customHeight="1" x14ac:dyDescent="0.6">
      <c r="A16" s="46" t="s">
        <v>345</v>
      </c>
      <c r="C16" s="77"/>
      <c r="D16" s="78">
        <f>SUMIFS(tblForecastLog[Forecasted Cost Amount],tblForecastLog[Vendor],A16,tblForecastLog[Forecasted Cost Type],"Subcontract")</f>
        <v>1806</v>
      </c>
      <c r="E16" s="79" cm="1">
        <f t="array" ref="E16">SUMPRODUCT((tblForecastLog[Vendor]=A16)*(ISNUMBER(SEARCH("CO",tblForecastLog[Forecasted Cost Type])))*(tblForecastLog[Forecasted Cost Amount]))+SUMIFS(tblForecastLog[Forecasted Cost Amount],tblForecastLog[Vendor],A16,tblForecastLog[Forecasted Cost Type],"Change Order")</f>
        <v>3612</v>
      </c>
      <c r="F16" s="79">
        <f>SUMIFS(tblForecastLog[Forecasted Cost Amount],tblForecastLog[Vendor],A16,tblForecastLog[Forecasted Cost Type],"Purchase Order")</f>
        <v>0</v>
      </c>
      <c r="G16" s="78">
        <f t="shared" si="0"/>
        <v>5418</v>
      </c>
      <c r="H16" s="78">
        <f>SUMIF(tblForecastLog[Vendor],A16,tblForecastLog[Forecasted Cost Amount])</f>
        <v>3612</v>
      </c>
      <c r="I16" s="80">
        <f t="shared" si="1"/>
        <v>0</v>
      </c>
      <c r="J16" s="81"/>
    </row>
    <row r="17" spans="1:13" ht="21.75" customHeight="1" x14ac:dyDescent="0.6">
      <c r="A17" s="46" t="s">
        <v>348</v>
      </c>
      <c r="C17" s="77"/>
      <c r="D17" s="78">
        <f>SUMIFS(tblForecastLog[Forecasted Cost Amount],tblForecastLog[Vendor],A17,tblForecastLog[Forecasted Cost Type],"Subcontract")</f>
        <v>500</v>
      </c>
      <c r="E17" s="79" cm="1">
        <f t="array" ref="E17">SUMPRODUCT((tblForecastLog[Vendor]=A17)*(ISNUMBER(SEARCH("CO",tblForecastLog[Forecasted Cost Type])))*(tblForecastLog[Forecasted Cost Amount]))+SUMIFS(tblForecastLog[Forecasted Cost Amount],tblForecastLog[Vendor],A17,tblForecastLog[Forecasted Cost Type],"Change Order")</f>
        <v>500</v>
      </c>
      <c r="F17" s="79">
        <f>SUMIFS(tblForecastLog[Forecasted Cost Amount],tblForecastLog[Vendor],A17,tblForecastLog[Forecasted Cost Type],"Purchase Order")</f>
        <v>0</v>
      </c>
      <c r="G17" s="78">
        <f t="shared" si="0"/>
        <v>1000</v>
      </c>
      <c r="H17" s="78">
        <f>SUMIF(tblForecastLog[Vendor],A17,tblForecastLog[Forecasted Cost Amount])</f>
        <v>500</v>
      </c>
      <c r="I17" s="80">
        <f t="shared" si="1"/>
        <v>0</v>
      </c>
      <c r="J17" s="81"/>
    </row>
    <row r="18" spans="1:13" ht="21.75" customHeight="1" x14ac:dyDescent="0.6">
      <c r="A18" s="46" t="s">
        <v>350</v>
      </c>
      <c r="C18" s="77"/>
      <c r="D18" s="78">
        <f>SUMIFS(tblForecastLog[Forecasted Cost Amount],tblForecastLog[Vendor],A18,tblForecastLog[Forecasted Cost Type],"Subcontract")</f>
        <v>0</v>
      </c>
      <c r="E18" s="79" cm="1">
        <f t="array" ref="E18">SUMPRODUCT((tblForecastLog[Vendor]=A18)*(ISNUMBER(SEARCH("CO",tblForecastLog[Forecasted Cost Type])))*(tblForecastLog[Forecasted Cost Amount]))+SUMIFS(tblForecastLog[Forecasted Cost Amount],tblForecastLog[Vendor],A18,tblForecastLog[Forecasted Cost Type],"Change Order")</f>
        <v>0</v>
      </c>
      <c r="F18" s="79">
        <f>SUMIFS(tblForecastLog[Forecasted Cost Amount],tblForecastLog[Vendor],A18,tblForecastLog[Forecasted Cost Type],"Purchase Order")</f>
        <v>0</v>
      </c>
      <c r="G18" s="78">
        <f t="shared" si="0"/>
        <v>0</v>
      </c>
      <c r="H18" s="78">
        <f>SUMIF(tblForecastLog[Vendor],A18,tblForecastLog[Forecasted Cost Amount])</f>
        <v>0</v>
      </c>
      <c r="I18" s="80">
        <f t="shared" si="1"/>
        <v>0</v>
      </c>
      <c r="J18" s="81"/>
    </row>
    <row r="19" spans="1:13" ht="21.75" customHeight="1" x14ac:dyDescent="0.6">
      <c r="A19" s="46" t="s">
        <v>352</v>
      </c>
      <c r="C19" s="77"/>
      <c r="D19" s="78">
        <f>SUMIFS(tblForecastLog[Forecasted Cost Amount],tblForecastLog[Vendor],A19,tblForecastLog[Forecasted Cost Type],"Subcontract")</f>
        <v>9325</v>
      </c>
      <c r="E19" s="79" cm="1">
        <f t="array" ref="E19">SUMPRODUCT((tblForecastLog[Vendor]=A19)*(ISNUMBER(SEARCH("CO",tblForecastLog[Forecasted Cost Type])))*(tblForecastLog[Forecasted Cost Amount]))+SUMIFS(tblForecastLog[Forecasted Cost Amount],tblForecastLog[Vendor],A19,tblForecastLog[Forecasted Cost Type],"Change Order")</f>
        <v>9325</v>
      </c>
      <c r="F19" s="79">
        <f>SUMIFS(tblForecastLog[Forecasted Cost Amount],tblForecastLog[Vendor],A19,tblForecastLog[Forecasted Cost Type],"Purchase Order")</f>
        <v>0</v>
      </c>
      <c r="G19" s="78">
        <f t="shared" si="0"/>
        <v>18650</v>
      </c>
      <c r="H19" s="78">
        <f>SUMIF(tblForecastLog[Vendor],A19,tblForecastLog[Forecasted Cost Amount])</f>
        <v>9325</v>
      </c>
      <c r="I19" s="80">
        <f t="shared" si="1"/>
        <v>0</v>
      </c>
      <c r="J19" s="81"/>
    </row>
    <row r="20" spans="1:13" ht="21.75" customHeight="1" x14ac:dyDescent="0.6">
      <c r="A20" s="46" t="s">
        <v>354</v>
      </c>
      <c r="C20" s="77"/>
      <c r="D20" s="78">
        <f>SUMIFS(tblForecastLog[Forecasted Cost Amount],tblForecastLog[Vendor],A20,tblForecastLog[Forecasted Cost Type],"Subcontract")</f>
        <v>0</v>
      </c>
      <c r="E20" s="79" cm="1">
        <f t="array" ref="E20">SUMPRODUCT((tblForecastLog[Vendor]=A20)*(ISNUMBER(SEARCH("CO",tblForecastLog[Forecasted Cost Type])))*(tblForecastLog[Forecasted Cost Amount]))+SUMIFS(tblForecastLog[Forecasted Cost Amount],tblForecastLog[Vendor],A20,tblForecastLog[Forecasted Cost Type],"Change Order")</f>
        <v>0</v>
      </c>
      <c r="F20" s="79">
        <f>SUMIFS(tblForecastLog[Forecasted Cost Amount],tblForecastLog[Vendor],A20,tblForecastLog[Forecasted Cost Type],"Purchase Order")</f>
        <v>0</v>
      </c>
      <c r="G20" s="78">
        <f t="shared" si="0"/>
        <v>0</v>
      </c>
      <c r="H20" s="78">
        <f>SUMIF(tblForecastLog[Vendor],A20,tblForecastLog[Forecasted Cost Amount])</f>
        <v>0</v>
      </c>
      <c r="I20" s="80">
        <f t="shared" si="1"/>
        <v>0</v>
      </c>
      <c r="J20" s="81"/>
    </row>
    <row r="21" spans="1:13" ht="21.75" customHeight="1" x14ac:dyDescent="0.6">
      <c r="A21" s="82" t="s">
        <v>335</v>
      </c>
      <c r="B21" s="82"/>
      <c r="C21" s="83"/>
      <c r="D21" s="78">
        <f>SUMIFS(tblForecastLog[Forecasted Cost Amount],tblForecastLog[Vendor],A21,tblForecastLog[Forecasted Cost Type],"Subcontract")</f>
        <v>0</v>
      </c>
      <c r="E21" s="79" cm="1">
        <f t="array" ref="E21">SUMPRODUCT((tblForecastLog[Vendor]=A21)*(ISNUMBER(SEARCH("CO",tblForecastLog[Forecasted Cost Type])))*(tblForecastLog[Forecasted Cost Amount]))+SUMIFS(tblForecastLog[Forecasted Cost Amount],tblForecastLog[Vendor],A21,tblForecastLog[Forecasted Cost Type],"Change Order")</f>
        <v>0</v>
      </c>
      <c r="F21" s="79">
        <f>SUMIFS(tblForecastLog[Forecasted Cost Amount],tblForecastLog[Vendor],A21,tblForecastLog[Forecasted Cost Type],"Purchase Order")</f>
        <v>4000</v>
      </c>
      <c r="G21" s="78">
        <f t="shared" si="0"/>
        <v>4000</v>
      </c>
      <c r="H21" s="78">
        <f>SUMIF(tblForecastLog[Vendor],A21,tblForecastLog[Forecasted Cost Amount])</f>
        <v>4000</v>
      </c>
      <c r="I21" s="82">
        <f t="shared" si="1"/>
        <v>0</v>
      </c>
      <c r="J21" s="82"/>
      <c r="K21" s="82"/>
      <c r="L21" s="82"/>
      <c r="M21" s="82"/>
    </row>
    <row r="22" spans="1:13" ht="21.75" customHeight="1" x14ac:dyDescent="0.6">
      <c r="C22" s="77"/>
      <c r="D22" s="80"/>
      <c r="E22" s="84"/>
      <c r="F22" s="84"/>
      <c r="G22" s="80"/>
      <c r="H22" s="85"/>
      <c r="I22" s="80">
        <f t="shared" si="1"/>
        <v>0</v>
      </c>
      <c r="J22" s="81"/>
      <c r="L22" s="46" t="e" cm="1">
        <f t="array" ref="L22">_xlfn.LET(_xlpm.cubeSet,CUBESET("ThisWorkbookDataModel","[Fact_JobDetail].[_Vendor].Members"),_xlfn.MAP(_xlfn.SEQUENCE(CUBESETCOUNT(_xlpm.cubeSet)),_xlfn.LAMBDA(_xlpm.i,CUBERANKEDMEMBER("ThisWorkbookDataModel",_xlpm.cubeSet,_xlpm.i))))</f>
        <v>#N/A</v>
      </c>
    </row>
    <row r="23" spans="1:13" ht="21.75" customHeight="1" x14ac:dyDescent="0.6">
      <c r="C23" s="77"/>
      <c r="D23" s="80"/>
      <c r="E23" s="84"/>
      <c r="F23" s="84"/>
      <c r="G23" s="80"/>
      <c r="H23" s="85"/>
      <c r="I23" s="80">
        <f t="shared" si="1"/>
        <v>0</v>
      </c>
      <c r="J23" s="81"/>
    </row>
    <row r="24" spans="1:13" ht="21.75" customHeight="1" x14ac:dyDescent="0.6">
      <c r="C24" s="77"/>
      <c r="D24" s="80"/>
      <c r="E24" s="84"/>
      <c r="F24" s="84"/>
      <c r="G24" s="80"/>
      <c r="H24" s="85"/>
      <c r="I24" s="80">
        <f t="shared" si="1"/>
        <v>0</v>
      </c>
      <c r="J24" s="81"/>
    </row>
    <row r="25" spans="1:13" ht="21.75" customHeight="1" x14ac:dyDescent="0.6">
      <c r="C25" s="77"/>
      <c r="D25" s="80"/>
      <c r="E25" s="84"/>
      <c r="F25" s="84"/>
      <c r="G25" s="80"/>
      <c r="H25" s="85"/>
      <c r="I25" s="80">
        <f t="shared" si="1"/>
        <v>0</v>
      </c>
      <c r="J25" s="81"/>
    </row>
    <row r="26" spans="1:13" ht="21.75" customHeight="1" x14ac:dyDescent="0.6">
      <c r="C26" s="77"/>
      <c r="D26" s="80"/>
      <c r="E26" s="84"/>
      <c r="F26" s="84"/>
      <c r="G26" s="80"/>
      <c r="H26" s="85"/>
      <c r="I26" s="80"/>
      <c r="J26" s="81"/>
    </row>
    <row r="27" spans="1:13" ht="21.75" customHeight="1" x14ac:dyDescent="0.6">
      <c r="C27" s="77"/>
      <c r="D27" s="80"/>
      <c r="E27" s="84"/>
      <c r="F27" s="84"/>
      <c r="G27" s="80"/>
      <c r="H27" s="85"/>
      <c r="I27" s="80"/>
      <c r="J27" s="81"/>
    </row>
    <row r="28" spans="1:13" ht="21.75" customHeight="1" x14ac:dyDescent="0.6">
      <c r="C28" s="77"/>
      <c r="D28" s="80"/>
      <c r="E28" s="84"/>
      <c r="F28" s="84"/>
      <c r="G28" s="80"/>
      <c r="H28" s="85"/>
      <c r="I28" s="80"/>
      <c r="J28" s="81"/>
    </row>
    <row r="29" spans="1:13" ht="21.75" customHeight="1" x14ac:dyDescent="0.6">
      <c r="C29" s="77"/>
      <c r="D29" s="80"/>
      <c r="E29" s="84"/>
      <c r="F29" s="84"/>
      <c r="G29" s="80"/>
      <c r="H29" s="85"/>
      <c r="I29" s="80"/>
      <c r="J29" s="81"/>
    </row>
    <row r="30" spans="1:13" ht="21.75" customHeight="1" x14ac:dyDescent="0.6">
      <c r="C30" s="77"/>
      <c r="D30" s="80"/>
      <c r="E30" s="84"/>
      <c r="F30" s="84"/>
      <c r="G30" s="80"/>
      <c r="H30" s="85"/>
      <c r="I30" s="80"/>
      <c r="J30" s="81"/>
    </row>
    <row r="31" spans="1:13" ht="21.75" customHeight="1" x14ac:dyDescent="0.6">
      <c r="C31" s="77"/>
      <c r="D31" s="80"/>
      <c r="E31" s="84"/>
      <c r="F31" s="84"/>
      <c r="G31" s="80"/>
      <c r="H31" s="85"/>
      <c r="I31" s="80"/>
      <c r="J31" s="81"/>
    </row>
    <row r="32" spans="1:13" ht="21.75" customHeight="1" x14ac:dyDescent="0.6">
      <c r="C32" s="77"/>
      <c r="D32" s="80"/>
      <c r="E32" s="84"/>
      <c r="F32" s="84"/>
      <c r="G32" s="80"/>
      <c r="H32" s="85"/>
      <c r="I32" s="80"/>
      <c r="J32" s="81"/>
    </row>
    <row r="33" spans="3:10" ht="21.75" customHeight="1" x14ac:dyDescent="0.6">
      <c r="C33" s="77"/>
      <c r="D33" s="80"/>
      <c r="E33" s="84"/>
      <c r="F33" s="84"/>
      <c r="G33" s="80"/>
      <c r="H33" s="85"/>
      <c r="I33" s="80"/>
      <c r="J33" s="81"/>
    </row>
    <row r="34" spans="3:10" ht="21.75" customHeight="1" x14ac:dyDescent="0.6">
      <c r="C34" s="77"/>
      <c r="D34" s="80"/>
      <c r="E34" s="84"/>
      <c r="F34" s="84"/>
      <c r="G34" s="80"/>
      <c r="H34" s="85"/>
      <c r="I34" s="80"/>
      <c r="J34" s="81"/>
    </row>
    <row r="35" spans="3:10" ht="21.75" customHeight="1" x14ac:dyDescent="0.6">
      <c r="C35" s="77"/>
      <c r="D35" s="80"/>
      <c r="E35" s="84"/>
      <c r="F35" s="84"/>
      <c r="G35" s="80"/>
      <c r="H35" s="85"/>
      <c r="I35" s="80"/>
      <c r="J35" s="81"/>
    </row>
    <row r="36" spans="3:10" ht="21.75" customHeight="1" x14ac:dyDescent="0.6">
      <c r="C36" s="77"/>
      <c r="D36" s="80"/>
      <c r="E36" s="84"/>
      <c r="F36" s="84"/>
      <c r="G36" s="80"/>
      <c r="H36" s="85"/>
      <c r="I36" s="80"/>
      <c r="J36" s="81"/>
    </row>
    <row r="37" spans="3:10" ht="21.75" customHeight="1" x14ac:dyDescent="0.6">
      <c r="C37" s="77"/>
      <c r="D37" s="80"/>
      <c r="E37" s="84"/>
      <c r="F37" s="84"/>
      <c r="G37" s="80"/>
      <c r="H37" s="85"/>
      <c r="I37" s="80"/>
      <c r="J37" s="81"/>
    </row>
    <row r="38" spans="3:10" ht="21.75" customHeight="1" x14ac:dyDescent="0.6">
      <c r="C38" s="77"/>
      <c r="D38" s="80"/>
      <c r="E38" s="84"/>
      <c r="F38" s="84"/>
      <c r="G38" s="80"/>
      <c r="H38" s="85"/>
      <c r="I38" s="80"/>
      <c r="J38" s="81"/>
    </row>
    <row r="39" spans="3:10" ht="21.75" customHeight="1" x14ac:dyDescent="0.6">
      <c r="C39" s="77"/>
      <c r="D39" s="80"/>
      <c r="E39" s="84"/>
      <c r="F39" s="84"/>
      <c r="G39" s="80"/>
      <c r="H39" s="85"/>
      <c r="I39" s="80"/>
      <c r="J39" s="81"/>
    </row>
    <row r="40" spans="3:10" ht="21.75" customHeight="1" x14ac:dyDescent="0.6">
      <c r="C40" s="77"/>
      <c r="D40" s="80"/>
      <c r="E40" s="84"/>
      <c r="F40" s="84"/>
      <c r="G40" s="80"/>
      <c r="H40" s="85"/>
      <c r="I40" s="80"/>
      <c r="J40" s="81"/>
    </row>
    <row r="41" spans="3:10" ht="21.75" customHeight="1" x14ac:dyDescent="0.6">
      <c r="C41" s="77"/>
      <c r="D41" s="80"/>
      <c r="E41" s="84"/>
      <c r="F41" s="84"/>
      <c r="G41" s="80"/>
      <c r="H41" s="85"/>
      <c r="I41" s="80"/>
      <c r="J41" s="81"/>
    </row>
    <row r="42" spans="3:10" ht="21.75" customHeight="1" x14ac:dyDescent="0.6">
      <c r="C42" s="77"/>
      <c r="D42" s="80"/>
      <c r="E42" s="84"/>
      <c r="F42" s="84"/>
      <c r="G42" s="80"/>
      <c r="H42" s="85"/>
      <c r="I42" s="80"/>
      <c r="J42" s="81"/>
    </row>
    <row r="43" spans="3:10" ht="21.75" customHeight="1" x14ac:dyDescent="0.6">
      <c r="C43" s="77"/>
      <c r="D43" s="80"/>
      <c r="E43" s="84"/>
      <c r="F43" s="84"/>
      <c r="G43" s="80"/>
      <c r="H43" s="85"/>
      <c r="I43" s="80"/>
      <c r="J43" s="81"/>
    </row>
    <row r="44" spans="3:10" ht="21.75" customHeight="1" x14ac:dyDescent="0.6">
      <c r="C44" s="77"/>
      <c r="D44" s="80"/>
      <c r="E44" s="84"/>
      <c r="F44" s="84"/>
      <c r="G44" s="80"/>
      <c r="H44" s="85"/>
      <c r="I44" s="80"/>
      <c r="J44" s="81"/>
    </row>
    <row r="45" spans="3:10" ht="21.75" customHeight="1" x14ac:dyDescent="0.6">
      <c r="C45" s="77"/>
      <c r="D45" s="80"/>
      <c r="E45" s="84"/>
      <c r="F45" s="84"/>
      <c r="G45" s="80"/>
      <c r="H45" s="85"/>
      <c r="I45" s="80"/>
      <c r="J45" s="81"/>
    </row>
    <row r="46" spans="3:10" ht="21.75" customHeight="1" x14ac:dyDescent="0.6">
      <c r="C46" s="77"/>
      <c r="D46" s="80"/>
      <c r="E46" s="84"/>
      <c r="F46" s="84"/>
      <c r="G46" s="80"/>
      <c r="H46" s="85"/>
      <c r="I46" s="80"/>
      <c r="J46" s="81"/>
    </row>
    <row r="47" spans="3:10" ht="21.75" customHeight="1" x14ac:dyDescent="0.6">
      <c r="C47" s="77"/>
      <c r="D47" s="80"/>
      <c r="E47" s="84"/>
      <c r="F47" s="84"/>
      <c r="G47" s="80"/>
      <c r="H47" s="85"/>
      <c r="I47" s="80"/>
      <c r="J47" s="81"/>
    </row>
    <row r="48" spans="3:10" ht="21.75" customHeight="1" x14ac:dyDescent="0.6">
      <c r="C48" s="77"/>
      <c r="D48" s="80"/>
      <c r="E48" s="84"/>
      <c r="F48" s="84"/>
      <c r="G48" s="80"/>
      <c r="H48" s="85"/>
      <c r="I48" s="80"/>
      <c r="J48" s="81"/>
    </row>
    <row r="49" spans="3:10" ht="21.75" customHeight="1" x14ac:dyDescent="0.6">
      <c r="C49" s="77"/>
      <c r="D49" s="80"/>
      <c r="E49" s="84"/>
      <c r="F49" s="84"/>
      <c r="G49" s="80"/>
      <c r="H49" s="85"/>
      <c r="I49" s="80"/>
      <c r="J49" s="81"/>
    </row>
    <row r="50" spans="3:10" ht="21.75" customHeight="1" x14ac:dyDescent="0.6">
      <c r="C50" s="77"/>
      <c r="D50" s="80"/>
      <c r="E50" s="84"/>
      <c r="F50" s="84"/>
      <c r="G50" s="80"/>
      <c r="H50" s="85"/>
      <c r="I50" s="80"/>
      <c r="J50" s="81"/>
    </row>
    <row r="51" spans="3:10" ht="21.75" customHeight="1" x14ac:dyDescent="0.6">
      <c r="C51" s="77"/>
      <c r="D51" s="80"/>
      <c r="E51" s="84"/>
      <c r="F51" s="84"/>
      <c r="G51" s="80"/>
      <c r="H51" s="85"/>
      <c r="I51" s="80"/>
      <c r="J51" s="81"/>
    </row>
    <row r="52" spans="3:10" ht="21.75" customHeight="1" x14ac:dyDescent="0.6">
      <c r="C52" s="77"/>
      <c r="D52" s="80"/>
      <c r="E52" s="84"/>
      <c r="F52" s="84"/>
      <c r="G52" s="80"/>
      <c r="H52" s="85"/>
      <c r="I52" s="80"/>
      <c r="J52" s="81"/>
    </row>
    <row r="53" spans="3:10" ht="21.75" customHeight="1" x14ac:dyDescent="0.6">
      <c r="C53" s="77"/>
      <c r="D53" s="80"/>
      <c r="E53" s="84"/>
      <c r="F53" s="84"/>
      <c r="G53" s="80"/>
      <c r="H53" s="85"/>
      <c r="I53" s="80"/>
      <c r="J53" s="81"/>
    </row>
    <row r="54" spans="3:10" ht="21.75" customHeight="1" x14ac:dyDescent="0.6">
      <c r="C54" s="77"/>
      <c r="D54" s="80"/>
      <c r="E54" s="84"/>
      <c r="F54" s="84"/>
      <c r="G54" s="80"/>
      <c r="H54" s="85"/>
      <c r="I54" s="80"/>
      <c r="J54" s="81"/>
    </row>
    <row r="55" spans="3:10" ht="21.75" customHeight="1" x14ac:dyDescent="0.6">
      <c r="C55" s="77"/>
      <c r="D55" s="80"/>
      <c r="E55" s="84"/>
      <c r="F55" s="84"/>
      <c r="G55" s="80"/>
      <c r="H55" s="85"/>
      <c r="I55" s="80"/>
      <c r="J55" s="81"/>
    </row>
    <row r="56" spans="3:10" ht="21.75" customHeight="1" x14ac:dyDescent="0.6">
      <c r="C56" s="77"/>
      <c r="D56" s="80"/>
      <c r="E56" s="84"/>
      <c r="F56" s="84"/>
      <c r="G56" s="80"/>
      <c r="H56" s="85"/>
      <c r="I56" s="80"/>
      <c r="J56" s="81"/>
    </row>
    <row r="57" spans="3:10" ht="21.75" customHeight="1" x14ac:dyDescent="0.6">
      <c r="C57" s="77"/>
      <c r="D57" s="80"/>
      <c r="E57" s="84"/>
      <c r="F57" s="84"/>
      <c r="G57" s="80"/>
      <c r="H57" s="85"/>
      <c r="I57" s="80"/>
      <c r="J57" s="81"/>
    </row>
    <row r="58" spans="3:10" ht="21.75" customHeight="1" x14ac:dyDescent="0.6">
      <c r="C58" s="77"/>
      <c r="D58" s="80"/>
      <c r="E58" s="84"/>
      <c r="F58" s="84"/>
      <c r="G58" s="80"/>
      <c r="H58" s="85"/>
      <c r="I58" s="80"/>
      <c r="J58" s="81"/>
    </row>
    <row r="59" spans="3:10" ht="21.75" customHeight="1" x14ac:dyDescent="0.6">
      <c r="C59" s="77"/>
      <c r="D59" s="80"/>
      <c r="E59" s="84"/>
      <c r="F59" s="84"/>
      <c r="G59" s="80"/>
      <c r="H59" s="85"/>
      <c r="I59" s="80"/>
      <c r="J59" s="81"/>
    </row>
    <row r="60" spans="3:10" ht="21.75" customHeight="1" x14ac:dyDescent="0.6">
      <c r="C60" s="77"/>
      <c r="D60" s="80"/>
      <c r="E60" s="84"/>
      <c r="F60" s="84"/>
      <c r="G60" s="80"/>
      <c r="H60" s="85"/>
      <c r="I60" s="80"/>
      <c r="J60" s="81"/>
    </row>
    <row r="61" spans="3:10" ht="21.75" customHeight="1" x14ac:dyDescent="0.6">
      <c r="C61" s="77"/>
      <c r="D61" s="80"/>
      <c r="E61" s="84"/>
      <c r="F61" s="84"/>
      <c r="G61" s="80"/>
      <c r="H61" s="85"/>
      <c r="I61" s="80"/>
      <c r="J61" s="81"/>
    </row>
    <row r="62" spans="3:10" ht="21.75" customHeight="1" x14ac:dyDescent="0.6">
      <c r="C62" s="77"/>
      <c r="D62" s="80"/>
      <c r="E62" s="84"/>
      <c r="F62" s="84"/>
      <c r="G62" s="80"/>
      <c r="H62" s="85"/>
      <c r="I62" s="80"/>
      <c r="J62" s="81"/>
    </row>
    <row r="63" spans="3:10" ht="21.75" customHeight="1" x14ac:dyDescent="0.6">
      <c r="C63" s="77"/>
      <c r="D63" s="80"/>
      <c r="E63" s="84"/>
      <c r="F63" s="84"/>
      <c r="G63" s="80"/>
      <c r="H63" s="85"/>
      <c r="I63" s="80"/>
      <c r="J63" s="81"/>
    </row>
    <row r="64" spans="3:10" ht="21.75" customHeight="1" x14ac:dyDescent="0.6">
      <c r="C64" s="77"/>
      <c r="D64" s="80"/>
      <c r="E64" s="84"/>
      <c r="F64" s="84"/>
      <c r="G64" s="80"/>
      <c r="H64" s="85"/>
      <c r="I64" s="80"/>
      <c r="J64" s="81"/>
    </row>
    <row r="65" spans="3:10" ht="21.75" customHeight="1" x14ac:dyDescent="0.6">
      <c r="C65" s="77"/>
      <c r="D65" s="80"/>
      <c r="E65" s="84"/>
      <c r="F65" s="84"/>
      <c r="G65" s="80"/>
      <c r="H65" s="85"/>
      <c r="I65" s="80"/>
      <c r="J65" s="81"/>
    </row>
    <row r="66" spans="3:10" ht="21.75" customHeight="1" x14ac:dyDescent="0.6">
      <c r="C66" s="77"/>
      <c r="D66" s="80"/>
      <c r="E66" s="84"/>
      <c r="F66" s="84"/>
      <c r="G66" s="80"/>
      <c r="H66" s="85"/>
      <c r="I66" s="80"/>
      <c r="J66" s="81"/>
    </row>
    <row r="67" spans="3:10" ht="21.75" customHeight="1" x14ac:dyDescent="0.6">
      <c r="C67" s="77"/>
      <c r="D67" s="80"/>
      <c r="E67" s="84"/>
      <c r="F67" s="84"/>
      <c r="G67" s="80"/>
      <c r="H67" s="85"/>
      <c r="I67" s="80"/>
      <c r="J67" s="81"/>
    </row>
    <row r="68" spans="3:10" ht="21.75" customHeight="1" x14ac:dyDescent="0.6">
      <c r="C68" s="77"/>
      <c r="D68" s="80"/>
      <c r="E68" s="84"/>
      <c r="F68" s="84"/>
      <c r="G68" s="80"/>
      <c r="H68" s="85"/>
      <c r="I68" s="80"/>
      <c r="J68" s="81"/>
    </row>
    <row r="69" spans="3:10" ht="21.75" customHeight="1" x14ac:dyDescent="0.6">
      <c r="C69" s="77"/>
      <c r="D69" s="80"/>
      <c r="E69" s="84"/>
      <c r="F69" s="84"/>
      <c r="G69" s="80"/>
      <c r="H69" s="85"/>
      <c r="I69" s="80"/>
      <c r="J69" s="81"/>
    </row>
    <row r="70" spans="3:10" ht="21.75" customHeight="1" x14ac:dyDescent="0.6">
      <c r="C70" s="77"/>
      <c r="D70" s="80"/>
      <c r="E70" s="84"/>
      <c r="F70" s="84"/>
      <c r="G70" s="80"/>
      <c r="H70" s="85"/>
      <c r="I70" s="80"/>
      <c r="J70" s="81"/>
    </row>
    <row r="71" spans="3:10" ht="21.75" customHeight="1" x14ac:dyDescent="0.6">
      <c r="C71" s="77"/>
      <c r="D71" s="80"/>
      <c r="E71" s="84"/>
      <c r="F71" s="84"/>
      <c r="G71" s="80"/>
      <c r="H71" s="85"/>
      <c r="I71" s="80"/>
      <c r="J71" s="81"/>
    </row>
    <row r="72" spans="3:10" ht="21.75" customHeight="1" x14ac:dyDescent="0.6">
      <c r="C72" s="77"/>
      <c r="D72" s="80"/>
      <c r="E72" s="84"/>
      <c r="F72" s="84"/>
      <c r="G72" s="80"/>
      <c r="H72" s="85"/>
      <c r="I72" s="80"/>
      <c r="J72" s="81"/>
    </row>
    <row r="73" spans="3:10" ht="21.75" customHeight="1" x14ac:dyDescent="0.6">
      <c r="C73" s="77"/>
      <c r="D73" s="80"/>
      <c r="E73" s="84"/>
      <c r="F73" s="84"/>
      <c r="G73" s="80"/>
      <c r="H73" s="85"/>
      <c r="I73" s="80"/>
      <c r="J73" s="81"/>
    </row>
    <row r="74" spans="3:10" ht="21.75" customHeight="1" x14ac:dyDescent="0.6">
      <c r="C74" s="77"/>
      <c r="D74" s="80"/>
      <c r="E74" s="84"/>
      <c r="F74" s="84"/>
      <c r="G74" s="80"/>
      <c r="H74" s="85"/>
      <c r="I74" s="80"/>
      <c r="J74" s="81"/>
    </row>
    <row r="75" spans="3:10" ht="21.75" customHeight="1" x14ac:dyDescent="0.6">
      <c r="C75" s="77"/>
      <c r="D75" s="80"/>
      <c r="E75" s="84"/>
      <c r="F75" s="84"/>
      <c r="G75" s="80"/>
      <c r="H75" s="85"/>
      <c r="I75" s="80"/>
      <c r="J75" s="81"/>
    </row>
    <row r="76" spans="3:10" ht="21.75" customHeight="1" x14ac:dyDescent="0.6">
      <c r="C76" s="77"/>
      <c r="D76" s="80"/>
      <c r="E76" s="84"/>
      <c r="F76" s="84"/>
      <c r="G76" s="80"/>
      <c r="H76" s="85"/>
      <c r="I76" s="80"/>
      <c r="J76" s="81"/>
    </row>
    <row r="77" spans="3:10" ht="21.75" customHeight="1" x14ac:dyDescent="0.6">
      <c r="C77" s="77"/>
      <c r="D77" s="80"/>
      <c r="E77" s="84"/>
      <c r="F77" s="84"/>
      <c r="G77" s="80"/>
      <c r="H77" s="85"/>
      <c r="I77" s="80"/>
      <c r="J77" s="81"/>
    </row>
    <row r="78" spans="3:10" ht="21.75" customHeight="1" x14ac:dyDescent="0.6">
      <c r="C78" s="77"/>
      <c r="D78" s="80"/>
      <c r="E78" s="84"/>
      <c r="F78" s="84"/>
      <c r="G78" s="80"/>
      <c r="H78" s="85"/>
      <c r="I78" s="80"/>
      <c r="J78" s="81"/>
    </row>
    <row r="79" spans="3:10" ht="21.75" customHeight="1" x14ac:dyDescent="0.6">
      <c r="C79" s="77"/>
      <c r="D79" s="80"/>
      <c r="E79" s="84"/>
      <c r="F79" s="84"/>
      <c r="G79" s="80"/>
      <c r="H79" s="85"/>
      <c r="I79" s="80"/>
      <c r="J79" s="81"/>
    </row>
    <row r="80" spans="3:10" ht="21.75" customHeight="1" x14ac:dyDescent="0.6">
      <c r="C80" s="77"/>
      <c r="D80" s="80"/>
      <c r="E80" s="84"/>
      <c r="F80" s="84"/>
      <c r="G80" s="80"/>
      <c r="H80" s="85"/>
      <c r="I80" s="80"/>
      <c r="J80" s="81"/>
    </row>
    <row r="81" spans="3:10" ht="21.75" customHeight="1" x14ac:dyDescent="0.6">
      <c r="C81" s="77"/>
      <c r="D81" s="80"/>
      <c r="E81" s="84"/>
      <c r="F81" s="84"/>
      <c r="G81" s="80"/>
      <c r="H81" s="85"/>
      <c r="I81" s="80"/>
      <c r="J81" s="81"/>
    </row>
    <row r="82" spans="3:10" ht="21.75" customHeight="1" x14ac:dyDescent="0.6">
      <c r="C82" s="77"/>
      <c r="D82" s="80"/>
      <c r="E82" s="84"/>
      <c r="F82" s="84"/>
      <c r="G82" s="80"/>
      <c r="H82" s="85"/>
      <c r="I82" s="80"/>
      <c r="J82" s="81"/>
    </row>
    <row r="83" spans="3:10" ht="21.75" customHeight="1" x14ac:dyDescent="0.6">
      <c r="C83" s="77"/>
      <c r="D83" s="80"/>
      <c r="E83" s="84"/>
      <c r="F83" s="84"/>
      <c r="G83" s="80"/>
      <c r="H83" s="85"/>
      <c r="I83" s="80"/>
      <c r="J83" s="81"/>
    </row>
    <row r="84" spans="3:10" ht="21.75" customHeight="1" x14ac:dyDescent="0.6">
      <c r="C84" s="77"/>
      <c r="D84" s="80"/>
      <c r="E84" s="84"/>
      <c r="F84" s="84"/>
      <c r="G84" s="80"/>
      <c r="H84" s="85"/>
      <c r="I84" s="80"/>
      <c r="J84" s="81"/>
    </row>
    <row r="85" spans="3:10" ht="21.75" customHeight="1" x14ac:dyDescent="0.6">
      <c r="C85" s="77"/>
      <c r="D85" s="80"/>
      <c r="E85" s="84"/>
      <c r="F85" s="84"/>
      <c r="G85" s="80"/>
      <c r="H85" s="85"/>
      <c r="I85" s="80"/>
      <c r="J85" s="81"/>
    </row>
    <row r="86" spans="3:10" ht="21.75" customHeight="1" x14ac:dyDescent="0.6">
      <c r="C86" s="77"/>
      <c r="D86" s="80"/>
      <c r="E86" s="84"/>
      <c r="F86" s="84"/>
      <c r="G86" s="80"/>
      <c r="H86" s="85"/>
      <c r="I86" s="80"/>
      <c r="J86" s="81"/>
    </row>
    <row r="87" spans="3:10" ht="21.75" customHeight="1" x14ac:dyDescent="0.6">
      <c r="C87" s="77"/>
      <c r="D87" s="80"/>
      <c r="E87" s="84"/>
      <c r="F87" s="84"/>
      <c r="G87" s="80"/>
      <c r="H87" s="85"/>
      <c r="I87" s="80"/>
      <c r="J87" s="81"/>
    </row>
    <row r="88" spans="3:10" ht="21.75" customHeight="1" x14ac:dyDescent="0.6">
      <c r="C88" s="77"/>
      <c r="D88" s="80"/>
      <c r="E88" s="84"/>
      <c r="F88" s="84"/>
      <c r="G88" s="80"/>
      <c r="H88" s="85"/>
      <c r="I88" s="80"/>
      <c r="J88" s="81"/>
    </row>
    <row r="89" spans="3:10" ht="21.75" customHeight="1" x14ac:dyDescent="0.6">
      <c r="C89" s="77"/>
      <c r="D89" s="80"/>
      <c r="E89" s="84"/>
      <c r="F89" s="84"/>
      <c r="G89" s="80"/>
      <c r="H89" s="85"/>
      <c r="I89" s="80"/>
      <c r="J89" s="81"/>
    </row>
    <row r="90" spans="3:10" ht="21.75" customHeight="1" x14ac:dyDescent="0.6">
      <c r="C90" s="77"/>
      <c r="D90" s="80"/>
      <c r="E90" s="84"/>
      <c r="F90" s="84"/>
      <c r="G90" s="80"/>
      <c r="H90" s="85"/>
      <c r="I90" s="80"/>
      <c r="J90" s="81"/>
    </row>
    <row r="91" spans="3:10" ht="22.5" customHeight="1" x14ac:dyDescent="0.6">
      <c r="C91" s="77"/>
      <c r="D91" s="80"/>
      <c r="E91" s="84"/>
      <c r="F91" s="84"/>
      <c r="G91" s="80"/>
      <c r="H91" s="85"/>
      <c r="I91" s="80"/>
      <c r="J91" s="81"/>
    </row>
    <row r="92" spans="3:10" ht="23.25" customHeight="1" x14ac:dyDescent="0.6">
      <c r="C92" s="86"/>
      <c r="D92" s="87">
        <f>SUBTOTAL(109,'04_VendorDetail'!$D$8:$D$91)</f>
        <v>38811</v>
      </c>
      <c r="E92" s="87"/>
      <c r="F92" s="88">
        <f>SUBTOTAL(109,'04_VendorDetail'!$F$8:$F$91)</f>
        <v>8000</v>
      </c>
      <c r="G92" s="87">
        <f>SUBTOTAL(109,'04_VendorDetail'!$G$8:$G$91)</f>
        <v>88428</v>
      </c>
      <c r="H92" s="89">
        <f>SUBTOTAL(109,'04_VendorDetail'!$H$8:$H$91)</f>
        <v>53617</v>
      </c>
      <c r="I92" s="87">
        <f ca="1">SUBTOTAL(109,'04_VendorDetail'!$I$8:$I$91)</f>
        <v>0</v>
      </c>
      <c r="J92" s="90"/>
    </row>
  </sheetData>
  <pageMargins left="0.7" right="0.7" top="0.75" bottom="0.75" header="0.3" footer="0.3"/>
  <pageSetup scale="23" orientation="landscape" useFirstPageNumber="1"/>
  <headerFooter>
    <oddHeader>&amp;L&amp;C&amp;R</oddHeader>
    <oddFooter>&amp;L&amp;C&amp;R</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C8678-CAC8-84CB-B41C-513209275E8D}">
  <sheetPr>
    <tabColor rgb="FF057ABF"/>
    <pageSetUpPr fitToPage="1"/>
  </sheetPr>
  <dimension ref="A1:S67"/>
  <sheetViews>
    <sheetView showGridLines="0" zoomScale="85" workbookViewId="0">
      <pane ySplit="7" topLeftCell="A23" activePane="bottomLeft" state="frozen"/>
      <selection pane="bottomLeft" activeCell="B18" sqref="B18"/>
    </sheetView>
  </sheetViews>
  <sheetFormatPr defaultColWidth="9.140625" defaultRowHeight="21.75" customHeight="1" x14ac:dyDescent="0.6"/>
  <cols>
    <col min="1" max="1" width="8" style="46" customWidth="1"/>
    <col min="2" max="2" width="64" style="46" customWidth="1"/>
    <col min="3" max="3" width="25.5703125" style="46" customWidth="1"/>
    <col min="4" max="4" width="23.7109375" style="46" customWidth="1"/>
    <col min="5" max="5" width="23.140625" style="46" customWidth="1"/>
    <col min="6" max="6" width="30.28515625" style="46" customWidth="1"/>
    <col min="7" max="7" width="55" style="46" customWidth="1"/>
  </cols>
  <sheetData>
    <row r="1" spans="1:19" ht="15" customHeight="1" x14ac:dyDescent="0.25">
      <c r="A1" s="69"/>
      <c r="B1" s="69"/>
      <c r="C1" s="69"/>
      <c r="D1" s="69"/>
      <c r="E1" s="69"/>
      <c r="F1" s="69"/>
      <c r="G1" s="69"/>
      <c r="H1" s="69"/>
      <c r="I1" s="69"/>
      <c r="J1" s="69"/>
      <c r="K1" s="69"/>
      <c r="L1" s="69"/>
      <c r="M1" s="69"/>
      <c r="N1" s="69"/>
      <c r="O1" s="69"/>
      <c r="P1" s="69"/>
      <c r="Q1" s="69"/>
      <c r="R1" s="69"/>
      <c r="S1" s="69"/>
    </row>
    <row r="2" spans="1:19" ht="15" customHeight="1" x14ac:dyDescent="0.25">
      <c r="A2" s="69"/>
      <c r="B2" s="69" t="s">
        <v>365</v>
      </c>
      <c r="C2" s="69"/>
      <c r="D2" s="69"/>
      <c r="E2" s="69"/>
      <c r="F2" s="69"/>
      <c r="G2" s="69"/>
      <c r="H2" s="69"/>
      <c r="I2" s="69"/>
      <c r="J2" s="69"/>
      <c r="K2" s="69"/>
      <c r="L2" s="69"/>
      <c r="M2" s="69"/>
      <c r="N2" s="69"/>
      <c r="O2" s="69"/>
      <c r="P2" s="69"/>
      <c r="Q2" s="69"/>
      <c r="R2" s="69"/>
      <c r="S2" s="69"/>
    </row>
    <row r="3" spans="1:19" ht="15" customHeight="1" x14ac:dyDescent="0.25">
      <c r="A3" s="69"/>
      <c r="B3" s="69" t="str">
        <f>'03_BudgetReport'!B3</f>
        <v>40 Mall Rd Ste 206 PreTI</v>
      </c>
      <c r="C3" s="69"/>
      <c r="D3" s="69"/>
      <c r="E3" s="69"/>
      <c r="F3" s="69"/>
      <c r="G3" s="69"/>
      <c r="H3" s="69"/>
      <c r="I3" s="69"/>
      <c r="J3" s="69"/>
      <c r="K3" s="69"/>
      <c r="L3" s="69"/>
      <c r="M3" s="69"/>
      <c r="N3" s="69"/>
      <c r="O3" s="69"/>
      <c r="P3" s="69"/>
      <c r="Q3" s="69"/>
      <c r="R3" s="69"/>
      <c r="S3" s="69"/>
    </row>
    <row r="4" spans="1:19" ht="15" customHeight="1" x14ac:dyDescent="0.25">
      <c r="A4" s="69"/>
      <c r="B4" s="69" t="str">
        <f>INDEX(tblProperties[#All],MATCH('00_JobSetup'!$C$3,tblProperties[[#All],[PropertyCode]],0),2)</f>
        <v xml:space="preserve"> 40 Mall Road</v>
      </c>
      <c r="C4" s="69"/>
      <c r="D4" s="69"/>
      <c r="E4" s="69"/>
      <c r="F4" s="69"/>
      <c r="G4" s="69"/>
      <c r="H4" s="69"/>
      <c r="I4" s="69"/>
      <c r="J4" s="69"/>
      <c r="K4" s="69"/>
      <c r="L4" s="69"/>
      <c r="M4" s="69"/>
      <c r="N4" s="69"/>
      <c r="O4" s="69"/>
      <c r="P4" s="69"/>
      <c r="Q4" s="69"/>
      <c r="R4" s="69"/>
      <c r="S4" s="69"/>
    </row>
    <row r="5" spans="1:19" ht="15" customHeight="1" x14ac:dyDescent="0.25">
      <c r="A5" s="69"/>
      <c r="B5" s="69">
        <f>'00_JobSetup'!C5</f>
        <v>1328</v>
      </c>
      <c r="C5" s="69"/>
      <c r="D5" s="69"/>
      <c r="E5" s="69"/>
      <c r="F5" s="69"/>
      <c r="G5" s="69"/>
      <c r="H5" s="69"/>
      <c r="I5" s="69"/>
      <c r="J5" s="69"/>
      <c r="K5" s="69"/>
      <c r="L5" s="69"/>
      <c r="M5" s="69"/>
      <c r="N5" s="69"/>
      <c r="O5" s="69"/>
      <c r="P5" s="69"/>
      <c r="Q5" s="69"/>
      <c r="R5" s="69"/>
      <c r="S5" s="69"/>
    </row>
    <row r="6" spans="1:19" ht="12" customHeight="1" x14ac:dyDescent="0.85">
      <c r="B6" s="92"/>
    </row>
    <row r="7" spans="1:19" ht="21.75" customHeight="1" x14ac:dyDescent="0.6">
      <c r="B7" s="93" t="s">
        <v>318</v>
      </c>
      <c r="C7" s="61" t="s">
        <v>366</v>
      </c>
      <c r="D7" s="61" t="s">
        <v>367</v>
      </c>
      <c r="E7" s="61" t="s">
        <v>368</v>
      </c>
      <c r="F7" s="61" t="s">
        <v>322</v>
      </c>
      <c r="G7" s="102" t="s">
        <v>369</v>
      </c>
    </row>
    <row r="8" spans="1:19" ht="21.75" customHeight="1" x14ac:dyDescent="0.6">
      <c r="B8" s="95" t="s">
        <v>370</v>
      </c>
      <c r="C8" s="60" t="s">
        <v>371</v>
      </c>
      <c r="D8" s="63">
        <v>686.63</v>
      </c>
      <c r="E8" s="63" t="s">
        <v>372</v>
      </c>
      <c r="F8" s="99">
        <v>45866</v>
      </c>
      <c r="G8" s="104" t="s">
        <v>373</v>
      </c>
    </row>
    <row r="9" spans="1:19" ht="21.75" customHeight="1" x14ac:dyDescent="0.6">
      <c r="B9" s="95" t="s">
        <v>351</v>
      </c>
      <c r="C9" s="60" t="s">
        <v>371</v>
      </c>
      <c r="D9" s="63">
        <v>3700</v>
      </c>
      <c r="E9" s="63" t="s">
        <v>372</v>
      </c>
      <c r="F9" s="99">
        <v>45866</v>
      </c>
      <c r="G9" s="104" t="s">
        <v>373</v>
      </c>
    </row>
    <row r="10" spans="1:19" ht="21.75" customHeight="1" x14ac:dyDescent="0.6">
      <c r="B10" s="95" t="s">
        <v>374</v>
      </c>
      <c r="C10" s="60" t="s">
        <v>371</v>
      </c>
      <c r="D10" s="63">
        <v>2700</v>
      </c>
      <c r="E10" s="63" t="s">
        <v>372</v>
      </c>
      <c r="F10" s="99">
        <v>45866</v>
      </c>
      <c r="G10" s="104" t="s">
        <v>373</v>
      </c>
    </row>
    <row r="11" spans="1:19" ht="21.75" customHeight="1" x14ac:dyDescent="0.6">
      <c r="B11" s="95" t="s">
        <v>375</v>
      </c>
      <c r="C11" s="60" t="s">
        <v>371</v>
      </c>
      <c r="D11" s="63">
        <v>1440</v>
      </c>
      <c r="E11" s="63" t="s">
        <v>372</v>
      </c>
      <c r="F11" s="99">
        <v>45866</v>
      </c>
      <c r="G11" s="104" t="s">
        <v>373</v>
      </c>
    </row>
    <row r="12" spans="1:19" ht="21.75" customHeight="1" x14ac:dyDescent="0.6">
      <c r="B12" s="95" t="s">
        <v>376</v>
      </c>
      <c r="C12" s="60" t="s">
        <v>371</v>
      </c>
      <c r="D12" s="63">
        <v>960</v>
      </c>
      <c r="E12" s="63" t="s">
        <v>372</v>
      </c>
      <c r="F12" s="99">
        <v>45866</v>
      </c>
      <c r="G12" s="104" t="s">
        <v>373</v>
      </c>
    </row>
    <row r="13" spans="1:19" ht="21.75" customHeight="1" x14ac:dyDescent="0.6">
      <c r="B13" s="95" t="s">
        <v>377</v>
      </c>
      <c r="C13" s="60" t="s">
        <v>371</v>
      </c>
      <c r="D13" s="63">
        <v>1558.56</v>
      </c>
      <c r="E13" s="63" t="s">
        <v>372</v>
      </c>
      <c r="F13" s="99">
        <v>45866</v>
      </c>
      <c r="G13" s="104" t="s">
        <v>373</v>
      </c>
    </row>
    <row r="14" spans="1:19" ht="21.75" customHeight="1" x14ac:dyDescent="0.6">
      <c r="B14" s="95" t="s">
        <v>344</v>
      </c>
      <c r="C14" s="60" t="s">
        <v>371</v>
      </c>
      <c r="D14" s="63">
        <v>3100</v>
      </c>
      <c r="E14" s="63" t="s">
        <v>372</v>
      </c>
      <c r="F14" s="99">
        <v>45866</v>
      </c>
      <c r="G14" s="104" t="s">
        <v>373</v>
      </c>
    </row>
    <row r="15" spans="1:19" ht="21.75" customHeight="1" x14ac:dyDescent="0.6">
      <c r="B15" s="95" t="s">
        <v>378</v>
      </c>
      <c r="C15" s="60" t="s">
        <v>371</v>
      </c>
      <c r="D15" s="63">
        <v>4500</v>
      </c>
      <c r="E15" s="63" t="s">
        <v>372</v>
      </c>
      <c r="F15" s="99">
        <v>45866</v>
      </c>
      <c r="G15" s="104" t="s">
        <v>373</v>
      </c>
    </row>
    <row r="16" spans="1:19" ht="21.75" customHeight="1" x14ac:dyDescent="0.6">
      <c r="B16" s="95" t="s">
        <v>346</v>
      </c>
      <c r="C16" s="60" t="s">
        <v>371</v>
      </c>
      <c r="D16" s="63">
        <v>1806</v>
      </c>
      <c r="E16" s="63" t="s">
        <v>372</v>
      </c>
      <c r="F16" s="99">
        <v>45866</v>
      </c>
      <c r="G16" s="104" t="s">
        <v>373</v>
      </c>
    </row>
    <row r="17" spans="2:7" ht="21.75" customHeight="1" x14ac:dyDescent="0.6">
      <c r="B17" s="95" t="s">
        <v>379</v>
      </c>
      <c r="C17" s="60" t="s">
        <v>371</v>
      </c>
      <c r="D17" s="63">
        <v>1050</v>
      </c>
      <c r="E17" s="63" t="s">
        <v>372</v>
      </c>
      <c r="F17" s="99">
        <v>45866</v>
      </c>
      <c r="G17" s="104" t="s">
        <v>373</v>
      </c>
    </row>
    <row r="18" spans="2:7" ht="21.75" customHeight="1" x14ac:dyDescent="0.6">
      <c r="B18" s="95" t="s">
        <v>342</v>
      </c>
      <c r="C18" s="60" t="s">
        <v>371</v>
      </c>
      <c r="D18" s="63">
        <v>10100</v>
      </c>
      <c r="E18" s="63" t="s">
        <v>372</v>
      </c>
      <c r="F18" s="99">
        <v>45866</v>
      </c>
      <c r="G18" s="104" t="s">
        <v>373</v>
      </c>
    </row>
    <row r="19" spans="2:7" ht="21.75" customHeight="1" x14ac:dyDescent="0.6">
      <c r="B19" s="95" t="s">
        <v>330</v>
      </c>
      <c r="C19" s="60" t="s">
        <v>371</v>
      </c>
      <c r="D19" s="63">
        <v>6140</v>
      </c>
      <c r="E19" s="63" t="s">
        <v>372</v>
      </c>
      <c r="F19" s="99">
        <v>45866</v>
      </c>
      <c r="G19" s="104" t="s">
        <v>373</v>
      </c>
    </row>
    <row r="20" spans="2:7" ht="21.75" customHeight="1" x14ac:dyDescent="0.6">
      <c r="B20" s="95" t="s">
        <v>349</v>
      </c>
      <c r="C20" s="60" t="s">
        <v>371</v>
      </c>
      <c r="D20" s="63">
        <v>500</v>
      </c>
      <c r="E20" s="63" t="s">
        <v>372</v>
      </c>
      <c r="F20" s="99">
        <v>45866</v>
      </c>
      <c r="G20" s="104" t="s">
        <v>373</v>
      </c>
    </row>
    <row r="21" spans="2:7" ht="21.75" customHeight="1" x14ac:dyDescent="0.6">
      <c r="B21" s="95" t="s">
        <v>339</v>
      </c>
      <c r="C21" s="60" t="s">
        <v>371</v>
      </c>
      <c r="D21" s="63">
        <v>3940</v>
      </c>
      <c r="E21" s="63" t="s">
        <v>372</v>
      </c>
      <c r="F21" s="99">
        <v>45866</v>
      </c>
      <c r="G21" s="104" t="s">
        <v>373</v>
      </c>
    </row>
    <row r="22" spans="2:7" ht="21.75" customHeight="1" x14ac:dyDescent="0.6">
      <c r="B22" s="95" t="s">
        <v>334</v>
      </c>
      <c r="C22" s="60" t="s">
        <v>371</v>
      </c>
      <c r="D22" s="63">
        <v>3900</v>
      </c>
      <c r="E22" s="63" t="s">
        <v>372</v>
      </c>
      <c r="F22" s="99">
        <v>45866</v>
      </c>
      <c r="G22" s="104" t="s">
        <v>373</v>
      </c>
    </row>
    <row r="23" spans="2:7" ht="21.75" customHeight="1" x14ac:dyDescent="0.6">
      <c r="B23" s="95" t="s">
        <v>380</v>
      </c>
      <c r="C23" s="60" t="s">
        <v>371</v>
      </c>
      <c r="D23" s="63">
        <v>2500</v>
      </c>
      <c r="E23" s="63" t="s">
        <v>372</v>
      </c>
      <c r="F23" s="99">
        <v>45866</v>
      </c>
      <c r="G23" s="104" t="s">
        <v>373</v>
      </c>
    </row>
    <row r="24" spans="2:7" ht="21.75" customHeight="1" x14ac:dyDescent="0.6">
      <c r="B24" s="95" t="s">
        <v>353</v>
      </c>
      <c r="C24" s="60" t="s">
        <v>371</v>
      </c>
      <c r="D24" s="63">
        <v>9325</v>
      </c>
      <c r="E24" s="63" t="s">
        <v>372</v>
      </c>
      <c r="F24" s="99">
        <v>45866</v>
      </c>
      <c r="G24" s="104" t="s">
        <v>373</v>
      </c>
    </row>
    <row r="25" spans="2:7" ht="21.75" customHeight="1" x14ac:dyDescent="0.6">
      <c r="B25" s="95"/>
      <c r="C25" s="60"/>
      <c r="D25" s="63"/>
      <c r="E25" s="63"/>
      <c r="F25" s="99"/>
      <c r="G25" s="104"/>
    </row>
    <row r="26" spans="2:7" ht="21.75" customHeight="1" x14ac:dyDescent="0.6">
      <c r="B26" s="95"/>
      <c r="C26" s="60"/>
      <c r="D26" s="63"/>
      <c r="E26" s="63"/>
      <c r="F26" s="99"/>
      <c r="G26" s="104"/>
    </row>
    <row r="27" spans="2:7" ht="21.75" customHeight="1" x14ac:dyDescent="0.6">
      <c r="B27" s="95"/>
      <c r="C27" s="60"/>
      <c r="D27" s="63"/>
      <c r="E27" s="63"/>
      <c r="F27" s="99"/>
      <c r="G27" s="104"/>
    </row>
    <row r="28" spans="2:7" ht="21.75" customHeight="1" x14ac:dyDescent="0.6">
      <c r="B28" s="95"/>
      <c r="C28" s="60"/>
      <c r="D28" s="63"/>
      <c r="E28" s="63"/>
      <c r="F28" s="99"/>
      <c r="G28" s="104"/>
    </row>
    <row r="29" spans="2:7" ht="21.75" customHeight="1" x14ac:dyDescent="0.6">
      <c r="B29" s="95"/>
      <c r="C29" s="60"/>
      <c r="D29" s="63"/>
      <c r="E29" s="63"/>
      <c r="F29" s="99"/>
      <c r="G29" s="104"/>
    </row>
    <row r="30" spans="2:7" ht="21.75" customHeight="1" x14ac:dyDescent="0.6">
      <c r="B30" s="95"/>
      <c r="C30" s="60"/>
      <c r="D30" s="63"/>
      <c r="E30" s="63"/>
      <c r="F30" s="99"/>
      <c r="G30" s="104"/>
    </row>
    <row r="31" spans="2:7" ht="21.75" customHeight="1" x14ac:dyDescent="0.6">
      <c r="B31" s="95"/>
      <c r="C31" s="60"/>
      <c r="D31" s="63"/>
      <c r="E31" s="63"/>
      <c r="F31" s="99"/>
      <c r="G31" s="104"/>
    </row>
    <row r="32" spans="2:7" ht="21.75" customHeight="1" x14ac:dyDescent="0.6">
      <c r="B32" s="95"/>
      <c r="C32" s="60"/>
      <c r="D32" s="63"/>
      <c r="E32" s="63"/>
      <c r="F32" s="99"/>
      <c r="G32" s="104"/>
    </row>
    <row r="33" spans="2:7" ht="21.75" customHeight="1" x14ac:dyDescent="0.6">
      <c r="B33" s="95"/>
      <c r="C33" s="60"/>
      <c r="D33" s="63"/>
      <c r="E33" s="63"/>
      <c r="F33" s="99"/>
      <c r="G33" s="104"/>
    </row>
    <row r="34" spans="2:7" ht="21.75" customHeight="1" x14ac:dyDescent="0.6">
      <c r="B34" s="95"/>
      <c r="C34" s="60"/>
      <c r="D34" s="63"/>
      <c r="E34" s="63"/>
      <c r="F34" s="99"/>
      <c r="G34" s="104"/>
    </row>
    <row r="35" spans="2:7" ht="21.75" customHeight="1" x14ac:dyDescent="0.6">
      <c r="B35" s="95"/>
      <c r="C35" s="60"/>
      <c r="D35" s="63"/>
      <c r="E35" s="63"/>
      <c r="F35" s="99"/>
      <c r="G35" s="104"/>
    </row>
    <row r="36" spans="2:7" ht="21.75" customHeight="1" x14ac:dyDescent="0.6">
      <c r="B36" s="95"/>
      <c r="C36" s="60"/>
      <c r="D36" s="63"/>
      <c r="E36" s="63"/>
      <c r="F36" s="99"/>
      <c r="G36" s="104"/>
    </row>
    <row r="37" spans="2:7" ht="21.75" customHeight="1" x14ac:dyDescent="0.6">
      <c r="B37" s="95"/>
      <c r="C37" s="60"/>
      <c r="D37" s="63"/>
      <c r="E37" s="63"/>
      <c r="F37" s="99"/>
      <c r="G37" s="104"/>
    </row>
    <row r="38" spans="2:7" ht="21.75" customHeight="1" x14ac:dyDescent="0.6">
      <c r="B38" s="95"/>
      <c r="C38" s="60"/>
      <c r="D38" s="63"/>
      <c r="E38" s="63"/>
      <c r="F38" s="99"/>
      <c r="G38" s="104"/>
    </row>
    <row r="39" spans="2:7" ht="21.75" customHeight="1" x14ac:dyDescent="0.6">
      <c r="B39" s="95"/>
      <c r="C39" s="60"/>
      <c r="D39" s="63"/>
      <c r="E39" s="63"/>
      <c r="F39" s="99"/>
      <c r="G39" s="104"/>
    </row>
    <row r="40" spans="2:7" ht="21.75" customHeight="1" x14ac:dyDescent="0.6">
      <c r="B40" s="95"/>
      <c r="C40" s="60"/>
      <c r="D40" s="63"/>
      <c r="E40" s="63"/>
      <c r="F40" s="99"/>
      <c r="G40" s="104"/>
    </row>
    <row r="41" spans="2:7" ht="21.75" customHeight="1" x14ac:dyDescent="0.6">
      <c r="B41" s="95"/>
      <c r="C41" s="60"/>
      <c r="D41" s="63"/>
      <c r="E41" s="63"/>
      <c r="F41" s="99"/>
      <c r="G41" s="104"/>
    </row>
    <row r="42" spans="2:7" ht="21.75" customHeight="1" x14ac:dyDescent="0.6">
      <c r="B42" s="95"/>
      <c r="C42" s="60"/>
      <c r="D42" s="63"/>
      <c r="E42" s="63"/>
      <c r="F42" s="99"/>
      <c r="G42" s="104"/>
    </row>
    <row r="43" spans="2:7" ht="21.75" customHeight="1" x14ac:dyDescent="0.6">
      <c r="B43" s="95"/>
      <c r="C43" s="60"/>
      <c r="D43" s="63"/>
      <c r="E43" s="63"/>
      <c r="F43" s="99"/>
      <c r="G43" s="104"/>
    </row>
    <row r="44" spans="2:7" ht="21.75" customHeight="1" x14ac:dyDescent="0.6">
      <c r="B44" s="95"/>
      <c r="C44" s="60"/>
      <c r="D44" s="63"/>
      <c r="E44" s="63"/>
      <c r="F44" s="99"/>
      <c r="G44" s="104"/>
    </row>
    <row r="45" spans="2:7" ht="21.75" customHeight="1" x14ac:dyDescent="0.6">
      <c r="B45" s="95"/>
      <c r="C45" s="60"/>
      <c r="D45" s="63"/>
      <c r="E45" s="63"/>
      <c r="F45" s="99"/>
      <c r="G45" s="104"/>
    </row>
    <row r="46" spans="2:7" ht="21.75" customHeight="1" x14ac:dyDescent="0.6">
      <c r="B46" s="95"/>
      <c r="C46" s="60"/>
      <c r="D46" s="63"/>
      <c r="E46" s="63"/>
      <c r="F46" s="99"/>
      <c r="G46" s="104"/>
    </row>
    <row r="47" spans="2:7" ht="21.75" customHeight="1" x14ac:dyDescent="0.6">
      <c r="B47" s="95"/>
      <c r="C47" s="60"/>
      <c r="D47" s="63"/>
      <c r="E47" s="63"/>
      <c r="F47" s="99"/>
      <c r="G47" s="104"/>
    </row>
    <row r="48" spans="2:7" ht="21.75" customHeight="1" x14ac:dyDescent="0.6">
      <c r="B48" s="95"/>
      <c r="C48" s="60"/>
      <c r="D48" s="63"/>
      <c r="E48" s="63"/>
      <c r="F48" s="99"/>
      <c r="G48" s="104"/>
    </row>
    <row r="49" spans="2:7" ht="21.75" customHeight="1" x14ac:dyDescent="0.6">
      <c r="B49" s="95"/>
      <c r="C49" s="60"/>
      <c r="D49" s="63"/>
      <c r="E49" s="63"/>
      <c r="F49" s="99"/>
      <c r="G49" s="104"/>
    </row>
    <row r="50" spans="2:7" ht="21.75" customHeight="1" x14ac:dyDescent="0.6">
      <c r="B50" s="95"/>
      <c r="C50" s="60"/>
      <c r="D50" s="63"/>
      <c r="E50" s="63"/>
      <c r="F50" s="99"/>
      <c r="G50" s="104"/>
    </row>
    <row r="51" spans="2:7" ht="21.75" customHeight="1" x14ac:dyDescent="0.6">
      <c r="B51" s="95"/>
      <c r="C51" s="60"/>
      <c r="D51" s="63"/>
      <c r="E51" s="63"/>
      <c r="F51" s="100"/>
      <c r="G51" s="104"/>
    </row>
    <row r="52" spans="2:7" ht="21.75" customHeight="1" x14ac:dyDescent="0.6">
      <c r="B52" s="95"/>
      <c r="C52" s="60"/>
      <c r="D52" s="63"/>
      <c r="E52" s="63"/>
      <c r="F52" s="100"/>
      <c r="G52" s="104"/>
    </row>
    <row r="53" spans="2:7" ht="21.75" customHeight="1" x14ac:dyDescent="0.6">
      <c r="B53" s="95"/>
      <c r="C53" s="60"/>
      <c r="D53" s="63"/>
      <c r="E53" s="63"/>
      <c r="F53" s="100"/>
      <c r="G53" s="104"/>
    </row>
    <row r="54" spans="2:7" ht="21.75" customHeight="1" x14ac:dyDescent="0.6">
      <c r="B54" s="95"/>
      <c r="C54" s="60"/>
      <c r="D54" s="63"/>
      <c r="E54" s="63"/>
      <c r="F54" s="100"/>
      <c r="G54" s="104"/>
    </row>
    <row r="55" spans="2:7" ht="21.75" customHeight="1" x14ac:dyDescent="0.6">
      <c r="B55" s="95"/>
      <c r="C55" s="60"/>
      <c r="D55" s="63"/>
      <c r="E55" s="63"/>
      <c r="F55" s="100"/>
      <c r="G55" s="104"/>
    </row>
    <row r="56" spans="2:7" ht="21.75" customHeight="1" x14ac:dyDescent="0.6">
      <c r="B56" s="95"/>
      <c r="C56" s="60"/>
      <c r="D56" s="63"/>
      <c r="E56" s="63"/>
      <c r="F56" s="100"/>
      <c r="G56" s="104"/>
    </row>
    <row r="57" spans="2:7" ht="21.75" customHeight="1" x14ac:dyDescent="0.6">
      <c r="B57" s="95"/>
      <c r="C57" s="60"/>
      <c r="D57" s="63"/>
      <c r="E57" s="63"/>
      <c r="F57" s="100"/>
      <c r="G57" s="104"/>
    </row>
    <row r="58" spans="2:7" ht="21.75" customHeight="1" x14ac:dyDescent="0.6">
      <c r="B58" s="95"/>
      <c r="C58" s="60"/>
      <c r="D58" s="63"/>
      <c r="E58" s="63"/>
      <c r="F58" s="100"/>
      <c r="G58" s="104"/>
    </row>
    <row r="59" spans="2:7" ht="21.75" customHeight="1" x14ac:dyDescent="0.6">
      <c r="B59" s="95"/>
      <c r="C59" s="60"/>
      <c r="D59" s="63"/>
      <c r="E59" s="63"/>
      <c r="F59" s="100"/>
      <c r="G59" s="104"/>
    </row>
    <row r="60" spans="2:7" ht="21.75" customHeight="1" x14ac:dyDescent="0.6">
      <c r="B60" s="95"/>
      <c r="C60" s="60"/>
      <c r="D60" s="63"/>
      <c r="E60" s="63"/>
      <c r="F60" s="100"/>
      <c r="G60" s="104"/>
    </row>
    <row r="61" spans="2:7" ht="21.75" customHeight="1" x14ac:dyDescent="0.6">
      <c r="B61" s="95"/>
      <c r="C61" s="60"/>
      <c r="D61" s="63"/>
      <c r="E61" s="63"/>
      <c r="F61" s="100"/>
      <c r="G61" s="104"/>
    </row>
    <row r="62" spans="2:7" ht="21.75" customHeight="1" x14ac:dyDescent="0.6">
      <c r="B62" s="95"/>
      <c r="C62" s="60"/>
      <c r="D62" s="63"/>
      <c r="E62" s="63"/>
      <c r="F62" s="100"/>
      <c r="G62" s="104"/>
    </row>
    <row r="63" spans="2:7" ht="21.75" customHeight="1" x14ac:dyDescent="0.6">
      <c r="B63" s="95"/>
      <c r="C63" s="60"/>
      <c r="D63" s="63"/>
      <c r="E63" s="63"/>
      <c r="F63" s="100"/>
      <c r="G63" s="104"/>
    </row>
    <row r="64" spans="2:7" ht="21.75" customHeight="1" x14ac:dyDescent="0.6">
      <c r="B64" s="95"/>
      <c r="C64" s="60"/>
      <c r="D64" s="63"/>
      <c r="E64" s="63"/>
      <c r="F64" s="100"/>
      <c r="G64" s="104"/>
    </row>
    <row r="65" spans="2:7" ht="21.75" customHeight="1" x14ac:dyDescent="0.6">
      <c r="B65" s="95"/>
      <c r="C65" s="60"/>
      <c r="D65" s="63"/>
      <c r="E65" s="63"/>
      <c r="F65" s="100"/>
      <c r="G65" s="104"/>
    </row>
    <row r="66" spans="2:7" ht="21.75" customHeight="1" x14ac:dyDescent="0.6">
      <c r="B66" s="95"/>
      <c r="C66" s="60"/>
      <c r="D66" s="63"/>
      <c r="E66" s="63"/>
      <c r="F66" s="101"/>
      <c r="G66" s="104"/>
    </row>
    <row r="67" spans="2:7" ht="21.75" customHeight="1" x14ac:dyDescent="0.6">
      <c r="B67" s="94" t="s">
        <v>381</v>
      </c>
      <c r="C67" s="96"/>
      <c r="D67" s="97">
        <f>SUBTOTAL(109,tblBudetLog[Budget Amount])</f>
        <v>57906.19</v>
      </c>
      <c r="E67" s="97"/>
      <c r="F67" s="98"/>
      <c r="G67" s="103"/>
    </row>
  </sheetData>
  <dataValidations count="3">
    <dataValidation type="list" allowBlank="1" showInputMessage="1" showErrorMessage="1" sqref="E8:E66" xr:uid="{00000000-0002-0000-0500-000000000000}">
      <formula1>BUDGET_STATUS</formula1>
    </dataValidation>
    <dataValidation type="list" allowBlank="1" showInputMessage="1" showErrorMessage="1" sqref="B8:B66" xr:uid="{00000000-0002-0000-0500-000001000000}">
      <formula1>CATEGORIES</formula1>
    </dataValidation>
    <dataValidation type="list" allowBlank="1" showInputMessage="1" showErrorMessage="1" sqref="C8:C66" xr:uid="{00000000-0002-0000-0500-000002000000}">
      <formula1>BUDGET_TYPE</formula1>
    </dataValidation>
  </dataValidations>
  <pageMargins left="0.7" right="0.7" top="0.75" bottom="0.75" header="0.3" footer="0.3"/>
  <pageSetup scale="39" orientation="portrait" useFirstPageNumber="1"/>
  <headerFooter>
    <oddHeader>&amp;L&amp;C&amp;R</oddHeader>
    <oddFooter>&amp;L&amp;C&amp;R</oddFooter>
  </headerFooter>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AA6DB-C0CA-7D78-8CCE-416DB2649B06}">
  <sheetPr>
    <tabColor theme="2" tint="-0.749992370372631"/>
    <pageSetUpPr fitToPage="1"/>
  </sheetPr>
  <dimension ref="A1:Q64"/>
  <sheetViews>
    <sheetView showGridLines="0" zoomScale="70" workbookViewId="0">
      <selection activeCell="D2" sqref="D2"/>
    </sheetView>
  </sheetViews>
  <sheetFormatPr defaultColWidth="9.140625" defaultRowHeight="21.75" customHeight="1" x14ac:dyDescent="0.6"/>
  <cols>
    <col min="1" max="1" width="11" style="46" customWidth="1"/>
    <col min="2" max="2" width="51.5703125" style="46" customWidth="1"/>
    <col min="3" max="12" width="18.7109375" style="46" customWidth="1"/>
    <col min="13" max="13" width="76.85546875" style="46" customWidth="1"/>
    <col min="14" max="14" width="7.140625" style="46" customWidth="1"/>
    <col min="15" max="16" width="9.140625" style="46" customWidth="1"/>
    <col min="17" max="17" width="8.7109375" style="46" customWidth="1"/>
  </cols>
  <sheetData>
    <row r="1" spans="1:17" ht="15" customHeight="1" x14ac:dyDescent="0.6">
      <c r="A1" s="69"/>
      <c r="B1" s="69"/>
      <c r="C1" s="69"/>
      <c r="D1" s="69"/>
      <c r="E1" s="69"/>
      <c r="F1" s="69"/>
      <c r="G1" s="69"/>
    </row>
    <row r="2" spans="1:17" ht="15" customHeight="1" x14ac:dyDescent="0.6">
      <c r="A2" s="69"/>
      <c r="B2" s="69" t="s">
        <v>382</v>
      </c>
      <c r="C2" s="69"/>
      <c r="D2" s="69"/>
      <c r="E2" s="69"/>
      <c r="F2" s="69"/>
      <c r="G2" s="69"/>
    </row>
    <row r="3" spans="1:17" ht="15" customHeight="1" x14ac:dyDescent="0.6">
      <c r="A3" s="69"/>
      <c r="B3" s="69" t="str">
        <f>'00_JobSetup'!C4</f>
        <v>40 Mall Rd Ste 206 PreTI</v>
      </c>
      <c r="C3" s="69"/>
      <c r="D3" s="69"/>
      <c r="E3" s="69"/>
      <c r="F3" s="69"/>
      <c r="G3" s="69"/>
    </row>
    <row r="4" spans="1:17" ht="15" customHeight="1" x14ac:dyDescent="0.6">
      <c r="A4" s="69"/>
      <c r="B4" s="69" t="str">
        <f>INDEX(tblProperties[#All],MATCH('00_JobSetup'!$C$3,tblProperties[[#All],[PropertyCode]],0),2)</f>
        <v xml:space="preserve"> 40 Mall Road</v>
      </c>
      <c r="C4" s="69"/>
      <c r="D4" s="69"/>
      <c r="E4" s="69"/>
      <c r="F4" s="69"/>
      <c r="G4" s="69"/>
    </row>
    <row r="5" spans="1:17" ht="15" customHeight="1" x14ac:dyDescent="0.6">
      <c r="A5" s="69"/>
      <c r="B5" s="69">
        <f>'00_JobSetup'!C5</f>
        <v>1328</v>
      </c>
      <c r="C5" s="69"/>
      <c r="D5" s="69"/>
      <c r="E5" s="69"/>
      <c r="F5" s="69"/>
      <c r="G5" s="69"/>
    </row>
    <row r="6" spans="1:17" ht="21.75" customHeight="1" x14ac:dyDescent="0.6">
      <c r="C6" s="71" t="s">
        <v>383</v>
      </c>
      <c r="D6" s="71" t="s">
        <v>384</v>
      </c>
      <c r="E6" s="72" t="s">
        <v>385</v>
      </c>
      <c r="F6" s="72"/>
      <c r="G6" s="71" t="s">
        <v>386</v>
      </c>
      <c r="H6" s="71" t="s">
        <v>387</v>
      </c>
      <c r="I6" s="72" t="s">
        <v>388</v>
      </c>
      <c r="J6" s="72"/>
      <c r="K6" s="72" t="s">
        <v>389</v>
      </c>
    </row>
    <row r="7" spans="1:17" ht="46.5" customHeight="1" x14ac:dyDescent="0.65">
      <c r="B7" s="73" t="s">
        <v>318</v>
      </c>
      <c r="C7" s="74" t="s">
        <v>371</v>
      </c>
      <c r="D7" s="75" t="s">
        <v>390</v>
      </c>
      <c r="E7" s="74" t="s">
        <v>391</v>
      </c>
      <c r="F7" s="111" t="s">
        <v>392</v>
      </c>
      <c r="G7" s="75" t="s">
        <v>393</v>
      </c>
      <c r="H7" s="75" t="s">
        <v>394</v>
      </c>
      <c r="I7" s="74" t="s">
        <v>395</v>
      </c>
      <c r="J7" s="111" t="s">
        <v>396</v>
      </c>
      <c r="K7" s="75" t="s">
        <v>397</v>
      </c>
      <c r="L7" s="75" t="s">
        <v>362</v>
      </c>
      <c r="M7" s="76" t="s">
        <v>363</v>
      </c>
    </row>
    <row r="8" spans="1:17" ht="21.75" customHeight="1" x14ac:dyDescent="0.6">
      <c r="B8" s="107" t="str" cm="1">
        <f t="array" aca="1" ref="B8" ca="1">_xlfn.LET(_xlpm.trig,RAND()*0,_xlpm.wbRaw,_xlfn.VSTACK(tblForecastLog[Category],tblBudetLog[Category]),_xlpm.wbList,_xlfn._xlws.SORT(_xlfn.UNIQUE(_xlfn._xlws.FILTER(_xlpm.wbRaw,_xlpm.wbRaw&lt;&gt;""))),_xlpm.cubeSet,CUBESET("ThisWorkbookDataModel","[Fact_JobDetail].[_Category].Members"),_xlpm.setCnt,CUBESETCOUNT(_xlpm.cubeSet),_xlpm.dmList,_xlfn.MAP(_xlfn.SEQUENCE(_xlpm.setCnt),_xlfn.LAMBDA(_xlpm.i,CUBERANKEDMEMBER("ThisWorkbookDataModel",_xlpm.cubeSet,_xlpm.i))),_xlpm.fullList,_xlfn._xlws.SORT(_xlfn.UNIQUE(_xlfn._xlws.FILTER(_xlfn.VSTACK(_xlpm.wbList,_xlpm.dmList),_xlfn.VSTACK(_xlpm.wbList,_xlpm.dmList)&lt;&gt;"All"))),_xlpm.idx,ROW()-ROW(tblBudget[[#Headers],[Category]]),IFERROR(INDEX(_xlpm.fullList,_xlpm.idx),""))</f>
        <v/>
      </c>
      <c r="C8" s="108">
        <f ca="1">SUMIFS(tblBudetLog[Budget Amount],tblBudetLog[Category],tblBudget[[#This Row],[Category]],tblBudetLog[Budget Type],"Original Budget",tblBudetLog[Budget Status],"Approved")</f>
        <v>0</v>
      </c>
      <c r="D8" s="109">
        <f ca="1">SUMIFS(tblBudetLog[Budget Amount],tblBudetLog[Category],tblBudget[[#This Row],[Category]],tblBudetLog[Budget Type],"Budget Adjustment")</f>
        <v>0</v>
      </c>
      <c r="E8" s="110">
        <f ca="1">tblBudget[[#This Row],[Original Budget]]+tblBudget[[#This Row],[Approved Changes]]</f>
        <v>0</v>
      </c>
      <c r="F8" s="113">
        <f ca="1">tblBudget[[#This Row],[Revised Budget]]/$B$5</f>
        <v>0</v>
      </c>
      <c r="G8" s="109" cm="1">
        <f t="array" aca="1" ref="G8" ca="1">SUMPRODUCT((tblForecastLog[Category]=tblBudget[[#This Row],[Category]])*ISNUMBER(MATCH(tblForecastLog[Forecasted Cost Type],{"Actual Cost","Purchase Order","Subcontract","Subcontract CO #1","Subcontract CO #2","Subcontract CO #3","Subcontract CO #4","Subcontract CO #5","Subcontract CO #6","Subcontract CO #7","Subcontract CO #8","Subcontract CO #9","Subcontract CO #10"},0))*(tblForecastLog[Forecasted Cost Status]="Accepted")*tblForecastLog[Forecasted Cost Amount])</f>
        <v>0</v>
      </c>
      <c r="H8" s="109" cm="1">
        <f t="array" aca="1" ref="H8" ca="1">SUMPRODUCT((tblForecastLog[Category]=tblBudget[[#This Row],[Category]])*ISNUMBER(MATCH(tblForecastLog[Forecasted Cost Type],{"Initial Estimate","Revised Estimate"},0))*ISNUMBER(MATCH(tblForecastLog[Forecasted Cost Status],{"Accepted","Pending"},0))*tblForecastLog[Forecasted Cost Amount])</f>
        <v>0</v>
      </c>
      <c r="I8" s="114">
        <f ca="1">tblBudget[[#This Row],[Committed Cost]]+tblBudget[[#This Row],[Estimated Costs]]</f>
        <v>0</v>
      </c>
      <c r="J8" s="115">
        <f ca="1">tblBudget[[#This Row],[Forecasted Final Cost]]/$B$5</f>
        <v>0</v>
      </c>
      <c r="K8" s="116">
        <f ca="1">tblBudget[[#This Row],[Revised Budget]]-tblBudget[[#This Row],[Forecasted Final Cost]]</f>
        <v>0</v>
      </c>
      <c r="L8" s="108">
        <f t="shared" ref="L8:L39" ca="1" si="0">_xlfn.IFNA(CUBEVALUE("ThisWorkbookDataModel","[Measures].[Amount by _Category]",CUBEMEMBER("ThisWorkbookDataModel","[Fact_JobDetail].[_Category].&amp;["&amp;TRIM($B8)&amp;"]")),0)</f>
        <v>0</v>
      </c>
      <c r="M8" s="117"/>
    </row>
    <row r="9" spans="1:17" ht="21.75" customHeight="1" x14ac:dyDescent="0.6">
      <c r="B9" s="107" t="str" cm="1">
        <f t="array" aca="1" ref="B9" ca="1">_xlfn.LET(_xlpm.trig,RAND()*0,_xlpm.wbRaw,_xlfn.VSTACK(tblForecastLog[Category],tblBudetLog[Category]),_xlpm.wbList,_xlfn._xlws.SORT(_xlfn.UNIQUE(_xlfn._xlws.FILTER(_xlpm.wbRaw,_xlpm.wbRaw&lt;&gt;""))),_xlpm.cubeSet,CUBESET("ThisWorkbookDataModel","[Fact_JobDetail].[_Category].Members"),_xlpm.setCnt,CUBESETCOUNT(_xlpm.cubeSet),_xlpm.dmList,_xlfn.MAP(_xlfn.SEQUENCE(_xlpm.setCnt),_xlfn.LAMBDA(_xlpm.i,CUBERANKEDMEMBER("ThisWorkbookDataModel",_xlpm.cubeSet,_xlpm.i))),_xlpm.fullList,_xlfn._xlws.SORT(_xlfn.UNIQUE(_xlfn._xlws.FILTER(_xlfn.VSTACK(_xlpm.wbList,_xlpm.dmList),_xlfn.VSTACK(_xlpm.wbList,_xlpm.dmList)&lt;&gt;"All"))),_xlpm.idx,ROW()-ROW(tblBudget[[#Headers],[Category]]),IFERROR(INDEX(_xlpm.fullList,_xlpm.idx),""))</f>
        <v/>
      </c>
      <c r="C9" s="108">
        <f ca="1">SUMIFS(tblBudetLog[Budget Amount],tblBudetLog[Category],tblBudget[[#This Row],[Category]],tblBudetLog[Budget Type],"Original Budget",tblBudetLog[Budget Status],"Approved")</f>
        <v>0</v>
      </c>
      <c r="D9" s="109">
        <f ca="1">SUMIFS(tblBudetLog[Budget Amount],tblBudetLog[Category],tblBudget[[#This Row],[Category]],tblBudetLog[Budget Type],"Budget Adjustment")</f>
        <v>0</v>
      </c>
      <c r="E9" s="110">
        <f ca="1">tblBudget[[#This Row],[Original Budget]]+tblBudget[[#This Row],[Approved Changes]]</f>
        <v>0</v>
      </c>
      <c r="F9" s="113">
        <f ca="1">tblBudget[[#This Row],[Revised Budget]]/$B$5</f>
        <v>0</v>
      </c>
      <c r="G9" s="109" cm="1">
        <f t="array" aca="1" ref="G9" ca="1">SUMPRODUCT((tblForecastLog[Category]=tblBudget[[#This Row],[Category]])*ISNUMBER(MATCH(tblForecastLog[Forecasted Cost Type],{"Actual Cost","Purchase Order","Subcontract","Subcontract CO #1","Subcontract CO #2","Subcontract CO #3","Subcontract CO #4","Subcontract CO #5","Subcontract CO #6","Subcontract CO #7","Subcontract CO #8","Subcontract CO #9","Subcontract CO #10"},0))*(tblForecastLog[Forecasted Cost Status]="Accepted")*tblForecastLog[Forecasted Cost Amount])</f>
        <v>0</v>
      </c>
      <c r="H9" s="109" cm="1">
        <f t="array" aca="1" ref="H9" ca="1">SUMPRODUCT((tblForecastLog[Category]=tblBudget[[#This Row],[Category]])*ISNUMBER(MATCH(tblForecastLog[Forecasted Cost Type],{"Initial Estimate","Revised Estimate"},0))*ISNUMBER(MATCH(tblForecastLog[Forecasted Cost Status],{"Accepted","Pending"},0))*tblForecastLog[Forecasted Cost Amount])</f>
        <v>0</v>
      </c>
      <c r="I9" s="114">
        <f ca="1">tblBudget[[#This Row],[Committed Cost]]+tblBudget[[#This Row],[Estimated Costs]]</f>
        <v>0</v>
      </c>
      <c r="J9" s="115">
        <f ca="1">tblBudget[[#This Row],[Forecasted Final Cost]]/$B$5</f>
        <v>0</v>
      </c>
      <c r="K9" s="116">
        <f ca="1">tblBudget[[#This Row],[Revised Budget]]-tblBudget[[#This Row],[Forecasted Final Cost]]</f>
        <v>0</v>
      </c>
      <c r="L9" s="108">
        <f t="shared" ca="1" si="0"/>
        <v>0</v>
      </c>
      <c r="M9" s="117"/>
    </row>
    <row r="10" spans="1:17" ht="21.75" customHeight="1" x14ac:dyDescent="0.6">
      <c r="B10" s="107" t="str" cm="1">
        <f t="array" aca="1" ref="B10" ca="1">_xlfn.LET(_xlpm.trig,RAND()*0,_xlpm.wbRaw,_xlfn.VSTACK(tblForecastLog[Category],tblBudetLog[Category]),_xlpm.wbList,_xlfn._xlws.SORT(_xlfn.UNIQUE(_xlfn._xlws.FILTER(_xlpm.wbRaw,_xlpm.wbRaw&lt;&gt;""))),_xlpm.cubeSet,CUBESET("ThisWorkbookDataModel","[Fact_JobDetail].[_Category].Members"),_xlpm.setCnt,CUBESETCOUNT(_xlpm.cubeSet),_xlpm.dmList,_xlfn.MAP(_xlfn.SEQUENCE(_xlpm.setCnt),_xlfn.LAMBDA(_xlpm.i,CUBERANKEDMEMBER("ThisWorkbookDataModel",_xlpm.cubeSet,_xlpm.i))),_xlpm.fullList,_xlfn._xlws.SORT(_xlfn.UNIQUE(_xlfn._xlws.FILTER(_xlfn.VSTACK(_xlpm.wbList,_xlpm.dmList),_xlfn.VSTACK(_xlpm.wbList,_xlpm.dmList)&lt;&gt;"All"))),_xlpm.idx,ROW()-ROW(tblBudget[[#Headers],[Category]]),IFERROR(INDEX(_xlpm.fullList,_xlpm.idx),""))</f>
        <v/>
      </c>
      <c r="C10" s="108">
        <f ca="1">SUMIFS(tblBudetLog[Budget Amount],tblBudetLog[Category],tblBudget[[#This Row],[Category]],tblBudetLog[Budget Type],"Original Budget",tblBudetLog[Budget Status],"Approved")</f>
        <v>0</v>
      </c>
      <c r="D10" s="109">
        <f ca="1">SUMIFS(tblBudetLog[Budget Amount],tblBudetLog[Category],tblBudget[[#This Row],[Category]],tblBudetLog[Budget Type],"Budget Adjustment")</f>
        <v>0</v>
      </c>
      <c r="E10" s="110">
        <f ca="1">tblBudget[[#This Row],[Original Budget]]+tblBudget[[#This Row],[Approved Changes]]</f>
        <v>0</v>
      </c>
      <c r="F10" s="113">
        <f ca="1">tblBudget[[#This Row],[Revised Budget]]/$B$5</f>
        <v>0</v>
      </c>
      <c r="G10" s="109" cm="1">
        <f t="array" aca="1" ref="G10" ca="1">SUMPRODUCT((tblForecastLog[Category]=tblBudget[[#This Row],[Category]])*ISNUMBER(MATCH(tblForecastLog[Forecasted Cost Type],{"Actual Cost","Purchase Order","Subcontract","Subcontract CO #1","Subcontract CO #2","Subcontract CO #3","Subcontract CO #4","Subcontract CO #5","Subcontract CO #6","Subcontract CO #7","Subcontract CO #8","Subcontract CO #9","Subcontract CO #10"},0))*(tblForecastLog[Forecasted Cost Status]="Accepted")*tblForecastLog[Forecasted Cost Amount])</f>
        <v>0</v>
      </c>
      <c r="H10" s="109" cm="1">
        <f t="array" aca="1" ref="H10" ca="1">SUMPRODUCT((tblForecastLog[Category]=tblBudget[[#This Row],[Category]])*ISNUMBER(MATCH(tblForecastLog[Forecasted Cost Type],{"Initial Estimate","Revised Estimate"},0))*ISNUMBER(MATCH(tblForecastLog[Forecasted Cost Status],{"Accepted","Pending"},0))*tblForecastLog[Forecasted Cost Amount])</f>
        <v>0</v>
      </c>
      <c r="I10" s="114">
        <f ca="1">tblBudget[[#This Row],[Committed Cost]]+tblBudget[[#This Row],[Estimated Costs]]</f>
        <v>0</v>
      </c>
      <c r="J10" s="115">
        <f ca="1">tblBudget[[#This Row],[Forecasted Final Cost]]/$B$5</f>
        <v>0</v>
      </c>
      <c r="K10" s="116">
        <f ca="1">tblBudget[[#This Row],[Revised Budget]]-tblBudget[[#This Row],[Forecasted Final Cost]]</f>
        <v>0</v>
      </c>
      <c r="L10" s="108">
        <f t="shared" ca="1" si="0"/>
        <v>0</v>
      </c>
      <c r="M10" s="117"/>
    </row>
    <row r="11" spans="1:17" ht="21.75" customHeight="1" x14ac:dyDescent="0.6">
      <c r="B11" s="107" t="str" cm="1">
        <f t="array" aca="1" ref="B11" ca="1">_xlfn.LET(_xlpm.trig,RAND()*0,_xlpm.wbRaw,_xlfn.VSTACK(tblForecastLog[Category],tblBudetLog[Category]),_xlpm.wbList,_xlfn._xlws.SORT(_xlfn.UNIQUE(_xlfn._xlws.FILTER(_xlpm.wbRaw,_xlpm.wbRaw&lt;&gt;""))),_xlpm.cubeSet,CUBESET("ThisWorkbookDataModel","[Fact_JobDetail].[_Category].Members"),_xlpm.setCnt,CUBESETCOUNT(_xlpm.cubeSet),_xlpm.dmList,_xlfn.MAP(_xlfn.SEQUENCE(_xlpm.setCnt),_xlfn.LAMBDA(_xlpm.i,CUBERANKEDMEMBER("ThisWorkbookDataModel",_xlpm.cubeSet,_xlpm.i))),_xlpm.fullList,_xlfn._xlws.SORT(_xlfn.UNIQUE(_xlfn._xlws.FILTER(_xlfn.VSTACK(_xlpm.wbList,_xlpm.dmList),_xlfn.VSTACK(_xlpm.wbList,_xlpm.dmList)&lt;&gt;"All"))),_xlpm.idx,ROW()-ROW(tblBudget[[#Headers],[Category]]),IFERROR(INDEX(_xlpm.fullList,_xlpm.idx),""))</f>
        <v/>
      </c>
      <c r="C11" s="108">
        <f ca="1">SUMIFS(tblBudetLog[Budget Amount],tblBudetLog[Category],tblBudget[[#This Row],[Category]],tblBudetLog[Budget Type],"Original Budget",tblBudetLog[Budget Status],"Approved")</f>
        <v>0</v>
      </c>
      <c r="D11" s="109">
        <f ca="1">SUMIFS(tblBudetLog[Budget Amount],tblBudetLog[Category],tblBudget[[#This Row],[Category]],tblBudetLog[Budget Type],"Budget Adjustment")</f>
        <v>0</v>
      </c>
      <c r="E11" s="110">
        <f ca="1">tblBudget[[#This Row],[Original Budget]]+tblBudget[[#This Row],[Approved Changes]]</f>
        <v>0</v>
      </c>
      <c r="F11" s="113">
        <f ca="1">tblBudget[[#This Row],[Revised Budget]]/$B$5</f>
        <v>0</v>
      </c>
      <c r="G11" s="109" cm="1">
        <f t="array" aca="1" ref="G11" ca="1">SUMPRODUCT((tblForecastLog[Category]=tblBudget[[#This Row],[Category]])*ISNUMBER(MATCH(tblForecastLog[Forecasted Cost Type],{"Actual Cost","Purchase Order","Subcontract","Subcontract CO #1","Subcontract CO #2","Subcontract CO #3","Subcontract CO #4","Subcontract CO #5","Subcontract CO #6","Subcontract CO #7","Subcontract CO #8","Subcontract CO #9","Subcontract CO #10"},0))*(tblForecastLog[Forecasted Cost Status]="Accepted")*tblForecastLog[Forecasted Cost Amount])</f>
        <v>0</v>
      </c>
      <c r="H11" s="109" cm="1">
        <f t="array" aca="1" ref="H11" ca="1">SUMPRODUCT((tblForecastLog[Category]=tblBudget[[#This Row],[Category]])*ISNUMBER(MATCH(tblForecastLog[Forecasted Cost Type],{"Initial Estimate","Revised Estimate"},0))*ISNUMBER(MATCH(tblForecastLog[Forecasted Cost Status],{"Accepted","Pending"},0))*tblForecastLog[Forecasted Cost Amount])</f>
        <v>0</v>
      </c>
      <c r="I11" s="114">
        <f ca="1">tblBudget[[#This Row],[Committed Cost]]+tblBudget[[#This Row],[Estimated Costs]]</f>
        <v>0</v>
      </c>
      <c r="J11" s="115">
        <f ca="1">tblBudget[[#This Row],[Forecasted Final Cost]]/$B$5</f>
        <v>0</v>
      </c>
      <c r="K11" s="116">
        <f ca="1">tblBudget[[#This Row],[Revised Budget]]-tblBudget[[#This Row],[Forecasted Final Cost]]</f>
        <v>0</v>
      </c>
      <c r="L11" s="108">
        <f t="shared" ca="1" si="0"/>
        <v>0</v>
      </c>
      <c r="M11" s="117"/>
    </row>
    <row r="12" spans="1:17" ht="21.75" customHeight="1" x14ac:dyDescent="0.6">
      <c r="B12" s="107" t="str" cm="1">
        <f t="array" aca="1" ref="B12" ca="1">_xlfn.LET(_xlpm.trig,RAND()*0,_xlpm.wbRaw,_xlfn.VSTACK(tblForecastLog[Category],tblBudetLog[Category]),_xlpm.wbList,_xlfn._xlws.SORT(_xlfn.UNIQUE(_xlfn._xlws.FILTER(_xlpm.wbRaw,_xlpm.wbRaw&lt;&gt;""))),_xlpm.cubeSet,CUBESET("ThisWorkbookDataModel","[Fact_JobDetail].[_Category].Members"),_xlpm.setCnt,CUBESETCOUNT(_xlpm.cubeSet),_xlpm.dmList,_xlfn.MAP(_xlfn.SEQUENCE(_xlpm.setCnt),_xlfn.LAMBDA(_xlpm.i,CUBERANKEDMEMBER("ThisWorkbookDataModel",_xlpm.cubeSet,_xlpm.i))),_xlpm.fullList,_xlfn._xlws.SORT(_xlfn.UNIQUE(_xlfn._xlws.FILTER(_xlfn.VSTACK(_xlpm.wbList,_xlpm.dmList),_xlfn.VSTACK(_xlpm.wbList,_xlpm.dmList)&lt;&gt;"All"))),_xlpm.idx,ROW()-ROW(tblBudget[[#Headers],[Category]]),IFERROR(INDEX(_xlpm.fullList,_xlpm.idx),""))</f>
        <v/>
      </c>
      <c r="C12" s="108">
        <f ca="1">SUMIFS(tblBudetLog[Budget Amount],tblBudetLog[Category],tblBudget[[#This Row],[Category]],tblBudetLog[Budget Type],"Original Budget",tblBudetLog[Budget Status],"Approved")</f>
        <v>0</v>
      </c>
      <c r="D12" s="109">
        <f ca="1">SUMIFS(tblBudetLog[Budget Amount],tblBudetLog[Category],tblBudget[[#This Row],[Category]],tblBudetLog[Budget Type],"Budget Adjustment")</f>
        <v>0</v>
      </c>
      <c r="E12" s="110">
        <f ca="1">tblBudget[[#This Row],[Original Budget]]+tblBudget[[#This Row],[Approved Changes]]</f>
        <v>0</v>
      </c>
      <c r="F12" s="113">
        <f ca="1">tblBudget[[#This Row],[Revised Budget]]/$B$5</f>
        <v>0</v>
      </c>
      <c r="G12" s="109" cm="1">
        <f t="array" aca="1" ref="G12" ca="1">SUMPRODUCT((tblForecastLog[Category]=tblBudget[[#This Row],[Category]])*ISNUMBER(MATCH(tblForecastLog[Forecasted Cost Type],{"Actual Cost","Purchase Order","Subcontract","Subcontract CO #1","Subcontract CO #2","Subcontract CO #3","Subcontract CO #4","Subcontract CO #5","Subcontract CO #6","Subcontract CO #7","Subcontract CO #8","Subcontract CO #9","Subcontract CO #10"},0))*(tblForecastLog[Forecasted Cost Status]="Accepted")*tblForecastLog[Forecasted Cost Amount])</f>
        <v>0</v>
      </c>
      <c r="H12" s="109" cm="1">
        <f t="array" aca="1" ref="H12" ca="1">SUMPRODUCT((tblForecastLog[Category]=tblBudget[[#This Row],[Category]])*ISNUMBER(MATCH(tblForecastLog[Forecasted Cost Type],{"Initial Estimate","Revised Estimate"},0))*ISNUMBER(MATCH(tblForecastLog[Forecasted Cost Status],{"Accepted","Pending"},0))*tblForecastLog[Forecasted Cost Amount])</f>
        <v>0</v>
      </c>
      <c r="I12" s="114">
        <f ca="1">tblBudget[[#This Row],[Committed Cost]]+tblBudget[[#This Row],[Estimated Costs]]</f>
        <v>0</v>
      </c>
      <c r="J12" s="115">
        <f ca="1">tblBudget[[#This Row],[Forecasted Final Cost]]/$B$5</f>
        <v>0</v>
      </c>
      <c r="K12" s="116">
        <f ca="1">tblBudget[[#This Row],[Revised Budget]]-tblBudget[[#This Row],[Forecasted Final Cost]]</f>
        <v>0</v>
      </c>
      <c r="L12" s="108">
        <f t="shared" ca="1" si="0"/>
        <v>0</v>
      </c>
      <c r="M12" s="117"/>
      <c r="Q12" s="105"/>
    </row>
    <row r="13" spans="1:17" ht="21.75" customHeight="1" x14ac:dyDescent="0.6">
      <c r="B13" s="107" t="str" cm="1">
        <f t="array" aca="1" ref="B13" ca="1">_xlfn.LET(_xlpm.trig,RAND()*0,_xlpm.wbRaw,_xlfn.VSTACK(tblForecastLog[Category],tblBudetLog[Category]),_xlpm.wbList,_xlfn._xlws.SORT(_xlfn.UNIQUE(_xlfn._xlws.FILTER(_xlpm.wbRaw,_xlpm.wbRaw&lt;&gt;""))),_xlpm.cubeSet,CUBESET("ThisWorkbookDataModel","[Fact_JobDetail].[_Category].Members"),_xlpm.setCnt,CUBESETCOUNT(_xlpm.cubeSet),_xlpm.dmList,_xlfn.MAP(_xlfn.SEQUENCE(_xlpm.setCnt),_xlfn.LAMBDA(_xlpm.i,CUBERANKEDMEMBER("ThisWorkbookDataModel",_xlpm.cubeSet,_xlpm.i))),_xlpm.fullList,_xlfn._xlws.SORT(_xlfn.UNIQUE(_xlfn._xlws.FILTER(_xlfn.VSTACK(_xlpm.wbList,_xlpm.dmList),_xlfn.VSTACK(_xlpm.wbList,_xlpm.dmList)&lt;&gt;"All"))),_xlpm.idx,ROW()-ROW(tblBudget[[#Headers],[Category]]),IFERROR(INDEX(_xlpm.fullList,_xlpm.idx),""))</f>
        <v/>
      </c>
      <c r="C13" s="108">
        <f ca="1">SUMIFS(tblBudetLog[Budget Amount],tblBudetLog[Category],tblBudget[[#This Row],[Category]],tblBudetLog[Budget Type],"Original Budget",tblBudetLog[Budget Status],"Approved")</f>
        <v>0</v>
      </c>
      <c r="D13" s="109">
        <f ca="1">SUMIFS(tblBudetLog[Budget Amount],tblBudetLog[Category],tblBudget[[#This Row],[Category]],tblBudetLog[Budget Type],"Budget Adjustment")</f>
        <v>0</v>
      </c>
      <c r="E13" s="110">
        <f ca="1">tblBudget[[#This Row],[Original Budget]]+tblBudget[[#This Row],[Approved Changes]]</f>
        <v>0</v>
      </c>
      <c r="F13" s="113">
        <f ca="1">tblBudget[[#This Row],[Revised Budget]]/$B$5</f>
        <v>0</v>
      </c>
      <c r="G13" s="109" cm="1">
        <f t="array" aca="1" ref="G13" ca="1">SUMPRODUCT((tblForecastLog[Category]=tblBudget[[#This Row],[Category]])*ISNUMBER(MATCH(tblForecastLog[Forecasted Cost Type],{"Actual Cost","Purchase Order","Subcontract","Subcontract CO #1","Subcontract CO #2","Subcontract CO #3","Subcontract CO #4","Subcontract CO #5","Subcontract CO #6","Subcontract CO #7","Subcontract CO #8","Subcontract CO #9","Subcontract CO #10"},0))*(tblForecastLog[Forecasted Cost Status]="Accepted")*tblForecastLog[Forecasted Cost Amount])</f>
        <v>0</v>
      </c>
      <c r="H13" s="109" cm="1">
        <f t="array" aca="1" ref="H13" ca="1">SUMPRODUCT((tblForecastLog[Category]=tblBudget[[#This Row],[Category]])*ISNUMBER(MATCH(tblForecastLog[Forecasted Cost Type],{"Initial Estimate","Revised Estimate"},0))*ISNUMBER(MATCH(tblForecastLog[Forecasted Cost Status],{"Accepted","Pending"},0))*tblForecastLog[Forecasted Cost Amount])</f>
        <v>0</v>
      </c>
      <c r="I13" s="114">
        <f ca="1">tblBudget[[#This Row],[Committed Cost]]+tblBudget[[#This Row],[Estimated Costs]]</f>
        <v>0</v>
      </c>
      <c r="J13" s="115">
        <f ca="1">tblBudget[[#This Row],[Forecasted Final Cost]]/$B$5</f>
        <v>0</v>
      </c>
      <c r="K13" s="116">
        <f ca="1">tblBudget[[#This Row],[Revised Budget]]-tblBudget[[#This Row],[Forecasted Final Cost]]</f>
        <v>0</v>
      </c>
      <c r="L13" s="108">
        <f t="shared" ca="1" si="0"/>
        <v>0</v>
      </c>
      <c r="M13" s="117"/>
    </row>
    <row r="14" spans="1:17" ht="21.75" customHeight="1" x14ac:dyDescent="0.6">
      <c r="B14" s="107" t="str" cm="1">
        <f t="array" aca="1" ref="B14" ca="1">_xlfn.LET(_xlpm.trig,RAND()*0,_xlpm.wbRaw,_xlfn.VSTACK(tblForecastLog[Category],tblBudetLog[Category]),_xlpm.wbList,_xlfn._xlws.SORT(_xlfn.UNIQUE(_xlfn._xlws.FILTER(_xlpm.wbRaw,_xlpm.wbRaw&lt;&gt;""))),_xlpm.cubeSet,CUBESET("ThisWorkbookDataModel","[Fact_JobDetail].[_Category].Members"),_xlpm.setCnt,CUBESETCOUNT(_xlpm.cubeSet),_xlpm.dmList,_xlfn.MAP(_xlfn.SEQUENCE(_xlpm.setCnt),_xlfn.LAMBDA(_xlpm.i,CUBERANKEDMEMBER("ThisWorkbookDataModel",_xlpm.cubeSet,_xlpm.i))),_xlpm.fullList,_xlfn._xlws.SORT(_xlfn.UNIQUE(_xlfn._xlws.FILTER(_xlfn.VSTACK(_xlpm.wbList,_xlpm.dmList),_xlfn.VSTACK(_xlpm.wbList,_xlpm.dmList)&lt;&gt;"All"))),_xlpm.idx,ROW()-ROW(tblBudget[[#Headers],[Category]]),IFERROR(INDEX(_xlpm.fullList,_xlpm.idx),""))</f>
        <v/>
      </c>
      <c r="C14" s="108">
        <f ca="1">SUMIFS(tblBudetLog[Budget Amount],tblBudetLog[Category],tblBudget[[#This Row],[Category]],tblBudetLog[Budget Type],"Original Budget",tblBudetLog[Budget Status],"Approved")</f>
        <v>0</v>
      </c>
      <c r="D14" s="109">
        <f ca="1">SUMIFS(tblBudetLog[Budget Amount],tblBudetLog[Category],tblBudget[[#This Row],[Category]],tblBudetLog[Budget Type],"Budget Adjustment")</f>
        <v>0</v>
      </c>
      <c r="E14" s="110">
        <f ca="1">tblBudget[[#This Row],[Original Budget]]+tblBudget[[#This Row],[Approved Changes]]</f>
        <v>0</v>
      </c>
      <c r="F14" s="113">
        <f ca="1">tblBudget[[#This Row],[Revised Budget]]/$B$5</f>
        <v>0</v>
      </c>
      <c r="G14" s="109" cm="1">
        <f t="array" aca="1" ref="G14" ca="1">SUMPRODUCT((tblForecastLog[Category]=tblBudget[[#This Row],[Category]])*ISNUMBER(MATCH(tblForecastLog[Forecasted Cost Type],{"Actual Cost","Purchase Order","Subcontract","Subcontract CO #1","Subcontract CO #2","Subcontract CO #3","Subcontract CO #4","Subcontract CO #5","Subcontract CO #6","Subcontract CO #7","Subcontract CO #8","Subcontract CO #9","Subcontract CO #10"},0))*(tblForecastLog[Forecasted Cost Status]="Accepted")*tblForecastLog[Forecasted Cost Amount])</f>
        <v>0</v>
      </c>
      <c r="H14" s="109" cm="1">
        <f t="array" aca="1" ref="H14" ca="1">SUMPRODUCT((tblForecastLog[Category]=tblBudget[[#This Row],[Category]])*ISNUMBER(MATCH(tblForecastLog[Forecasted Cost Type],{"Initial Estimate","Revised Estimate"},0))*ISNUMBER(MATCH(tblForecastLog[Forecasted Cost Status],{"Accepted","Pending"},0))*tblForecastLog[Forecasted Cost Amount])</f>
        <v>0</v>
      </c>
      <c r="I14" s="114">
        <f ca="1">tblBudget[[#This Row],[Committed Cost]]+tblBudget[[#This Row],[Estimated Costs]]</f>
        <v>0</v>
      </c>
      <c r="J14" s="115">
        <f ca="1">tblBudget[[#This Row],[Forecasted Final Cost]]/$B$5</f>
        <v>0</v>
      </c>
      <c r="K14" s="116">
        <f ca="1">tblBudget[[#This Row],[Revised Budget]]-tblBudget[[#This Row],[Forecasted Final Cost]]</f>
        <v>0</v>
      </c>
      <c r="L14" s="108">
        <f t="shared" ca="1" si="0"/>
        <v>0</v>
      </c>
      <c r="M14" s="117"/>
    </row>
    <row r="15" spans="1:17" ht="21.75" customHeight="1" x14ac:dyDescent="0.6">
      <c r="B15" s="107" t="str" cm="1">
        <f t="array" aca="1" ref="B15" ca="1">_xlfn.LET(_xlpm.trig,RAND()*0,_xlpm.wbRaw,_xlfn.VSTACK(tblForecastLog[Category],tblBudetLog[Category]),_xlpm.wbList,_xlfn._xlws.SORT(_xlfn.UNIQUE(_xlfn._xlws.FILTER(_xlpm.wbRaw,_xlpm.wbRaw&lt;&gt;""))),_xlpm.cubeSet,CUBESET("ThisWorkbookDataModel","[Fact_JobDetail].[_Category].Members"),_xlpm.setCnt,CUBESETCOUNT(_xlpm.cubeSet),_xlpm.dmList,_xlfn.MAP(_xlfn.SEQUENCE(_xlpm.setCnt),_xlfn.LAMBDA(_xlpm.i,CUBERANKEDMEMBER("ThisWorkbookDataModel",_xlpm.cubeSet,_xlpm.i))),_xlpm.fullList,_xlfn._xlws.SORT(_xlfn.UNIQUE(_xlfn._xlws.FILTER(_xlfn.VSTACK(_xlpm.wbList,_xlpm.dmList),_xlfn.VSTACK(_xlpm.wbList,_xlpm.dmList)&lt;&gt;"All"))),_xlpm.idx,ROW()-ROW(tblBudget[[#Headers],[Category]]),IFERROR(INDEX(_xlpm.fullList,_xlpm.idx),""))</f>
        <v/>
      </c>
      <c r="C15" s="108">
        <f ca="1">SUMIFS(tblBudetLog[Budget Amount],tblBudetLog[Category],tblBudget[[#This Row],[Category]],tblBudetLog[Budget Type],"Original Budget",tblBudetLog[Budget Status],"Approved")</f>
        <v>0</v>
      </c>
      <c r="D15" s="109">
        <f ca="1">SUMIFS(tblBudetLog[Budget Amount],tblBudetLog[Category],tblBudget[[#This Row],[Category]],tblBudetLog[Budget Type],"Budget Adjustment")</f>
        <v>0</v>
      </c>
      <c r="E15" s="110">
        <f ca="1">tblBudget[[#This Row],[Original Budget]]+tblBudget[[#This Row],[Approved Changes]]</f>
        <v>0</v>
      </c>
      <c r="F15" s="113">
        <f ca="1">tblBudget[[#This Row],[Revised Budget]]/$B$5</f>
        <v>0</v>
      </c>
      <c r="G15" s="109" cm="1">
        <f t="array" aca="1" ref="G15" ca="1">SUMPRODUCT((tblForecastLog[Category]=tblBudget[[#This Row],[Category]])*ISNUMBER(MATCH(tblForecastLog[Forecasted Cost Type],{"Actual Cost","Purchase Order","Subcontract","Subcontract CO #1","Subcontract CO #2","Subcontract CO #3","Subcontract CO #4","Subcontract CO #5","Subcontract CO #6","Subcontract CO #7","Subcontract CO #8","Subcontract CO #9","Subcontract CO #10"},0))*(tblForecastLog[Forecasted Cost Status]="Accepted")*tblForecastLog[Forecasted Cost Amount])</f>
        <v>0</v>
      </c>
      <c r="H15" s="109" cm="1">
        <f t="array" aca="1" ref="H15" ca="1">SUMPRODUCT((tblForecastLog[Category]=tblBudget[[#This Row],[Category]])*ISNUMBER(MATCH(tblForecastLog[Forecasted Cost Type],{"Initial Estimate","Revised Estimate"},0))*ISNUMBER(MATCH(tblForecastLog[Forecasted Cost Status],{"Accepted","Pending"},0))*tblForecastLog[Forecasted Cost Amount])</f>
        <v>0</v>
      </c>
      <c r="I15" s="114">
        <f ca="1">tblBudget[[#This Row],[Committed Cost]]+tblBudget[[#This Row],[Estimated Costs]]</f>
        <v>0</v>
      </c>
      <c r="J15" s="115">
        <f ca="1">tblBudget[[#This Row],[Forecasted Final Cost]]/$B$5</f>
        <v>0</v>
      </c>
      <c r="K15" s="116">
        <f ca="1">tblBudget[[#This Row],[Revised Budget]]-tblBudget[[#This Row],[Forecasted Final Cost]]</f>
        <v>0</v>
      </c>
      <c r="L15" s="108">
        <f t="shared" ca="1" si="0"/>
        <v>0</v>
      </c>
      <c r="M15" s="117"/>
    </row>
    <row r="16" spans="1:17" ht="21.75" customHeight="1" x14ac:dyDescent="0.6">
      <c r="B16" s="107" t="str" cm="1">
        <f t="array" aca="1" ref="B16" ca="1">_xlfn.LET(_xlpm.trig,RAND()*0,_xlpm.wbRaw,_xlfn.VSTACK(tblForecastLog[Category],tblBudetLog[Category]),_xlpm.wbList,_xlfn._xlws.SORT(_xlfn.UNIQUE(_xlfn._xlws.FILTER(_xlpm.wbRaw,_xlpm.wbRaw&lt;&gt;""))),_xlpm.cubeSet,CUBESET("ThisWorkbookDataModel","[Fact_JobDetail].[_Category].Members"),_xlpm.setCnt,CUBESETCOUNT(_xlpm.cubeSet),_xlpm.dmList,_xlfn.MAP(_xlfn.SEQUENCE(_xlpm.setCnt),_xlfn.LAMBDA(_xlpm.i,CUBERANKEDMEMBER("ThisWorkbookDataModel",_xlpm.cubeSet,_xlpm.i))),_xlpm.fullList,_xlfn._xlws.SORT(_xlfn.UNIQUE(_xlfn._xlws.FILTER(_xlfn.VSTACK(_xlpm.wbList,_xlpm.dmList),_xlfn.VSTACK(_xlpm.wbList,_xlpm.dmList)&lt;&gt;"All"))),_xlpm.idx,ROW()-ROW(tblBudget[[#Headers],[Category]]),IFERROR(INDEX(_xlpm.fullList,_xlpm.idx),""))</f>
        <v/>
      </c>
      <c r="C16" s="108">
        <f ca="1">SUMIFS(tblBudetLog[Budget Amount],tblBudetLog[Category],tblBudget[[#This Row],[Category]],tblBudetLog[Budget Type],"Original Budget",tblBudetLog[Budget Status],"Approved")</f>
        <v>0</v>
      </c>
      <c r="D16" s="109">
        <f ca="1">SUMIFS(tblBudetLog[Budget Amount],tblBudetLog[Category],tblBudget[[#This Row],[Category]],tblBudetLog[Budget Type],"Budget Adjustment")</f>
        <v>0</v>
      </c>
      <c r="E16" s="110">
        <f ca="1">tblBudget[[#This Row],[Original Budget]]+tblBudget[[#This Row],[Approved Changes]]</f>
        <v>0</v>
      </c>
      <c r="F16" s="113">
        <f ca="1">tblBudget[[#This Row],[Revised Budget]]/$B$5</f>
        <v>0</v>
      </c>
      <c r="G16" s="109" cm="1">
        <f t="array" aca="1" ref="G16" ca="1">SUMPRODUCT((tblForecastLog[Category]=tblBudget[[#This Row],[Category]])*ISNUMBER(MATCH(tblForecastLog[Forecasted Cost Type],{"Actual Cost","Purchase Order","Subcontract","Subcontract CO #1","Subcontract CO #2","Subcontract CO #3","Subcontract CO #4","Subcontract CO #5","Subcontract CO #6","Subcontract CO #7","Subcontract CO #8","Subcontract CO #9","Subcontract CO #10"},0))*(tblForecastLog[Forecasted Cost Status]="Accepted")*tblForecastLog[Forecasted Cost Amount])</f>
        <v>0</v>
      </c>
      <c r="H16" s="109" cm="1">
        <f t="array" aca="1" ref="H16" ca="1">SUMPRODUCT((tblForecastLog[Category]=tblBudget[[#This Row],[Category]])*ISNUMBER(MATCH(tblForecastLog[Forecasted Cost Type],{"Initial Estimate","Revised Estimate"},0))*ISNUMBER(MATCH(tblForecastLog[Forecasted Cost Status],{"Accepted","Pending"},0))*tblForecastLog[Forecasted Cost Amount])</f>
        <v>0</v>
      </c>
      <c r="I16" s="114">
        <f ca="1">tblBudget[[#This Row],[Committed Cost]]+tblBudget[[#This Row],[Estimated Costs]]</f>
        <v>0</v>
      </c>
      <c r="J16" s="115">
        <f ca="1">tblBudget[[#This Row],[Forecasted Final Cost]]/$B$5</f>
        <v>0</v>
      </c>
      <c r="K16" s="116">
        <f ca="1">tblBudget[[#This Row],[Revised Budget]]-tblBudget[[#This Row],[Forecasted Final Cost]]</f>
        <v>0</v>
      </c>
      <c r="L16" s="108">
        <f t="shared" ca="1" si="0"/>
        <v>0</v>
      </c>
      <c r="M16" s="117"/>
    </row>
    <row r="17" spans="2:13" ht="21.75" customHeight="1" x14ac:dyDescent="0.6">
      <c r="B17" s="107" t="str" cm="1">
        <f t="array" aca="1" ref="B17" ca="1">_xlfn.LET(_xlpm.trig,RAND()*0,_xlpm.wbRaw,_xlfn.VSTACK(tblForecastLog[Category],tblBudetLog[Category]),_xlpm.wbList,_xlfn._xlws.SORT(_xlfn.UNIQUE(_xlfn._xlws.FILTER(_xlpm.wbRaw,_xlpm.wbRaw&lt;&gt;""))),_xlpm.cubeSet,CUBESET("ThisWorkbookDataModel","[Fact_JobDetail].[_Category].Members"),_xlpm.setCnt,CUBESETCOUNT(_xlpm.cubeSet),_xlpm.dmList,_xlfn.MAP(_xlfn.SEQUENCE(_xlpm.setCnt),_xlfn.LAMBDA(_xlpm.i,CUBERANKEDMEMBER("ThisWorkbookDataModel",_xlpm.cubeSet,_xlpm.i))),_xlpm.fullList,_xlfn._xlws.SORT(_xlfn.UNIQUE(_xlfn._xlws.FILTER(_xlfn.VSTACK(_xlpm.wbList,_xlpm.dmList),_xlfn.VSTACK(_xlpm.wbList,_xlpm.dmList)&lt;&gt;"All"))),_xlpm.idx,ROW()-ROW(tblBudget[[#Headers],[Category]]),IFERROR(INDEX(_xlpm.fullList,_xlpm.idx),""))</f>
        <v/>
      </c>
      <c r="C17" s="108">
        <f ca="1">SUMIFS(tblBudetLog[Budget Amount],tblBudetLog[Category],tblBudget[[#This Row],[Category]],tblBudetLog[Budget Type],"Original Budget",tblBudetLog[Budget Status],"Approved")</f>
        <v>0</v>
      </c>
      <c r="D17" s="109">
        <f ca="1">SUMIFS(tblBudetLog[Budget Amount],tblBudetLog[Category],tblBudget[[#This Row],[Category]],tblBudetLog[Budget Type],"Budget Adjustment")</f>
        <v>0</v>
      </c>
      <c r="E17" s="110">
        <f ca="1">tblBudget[[#This Row],[Original Budget]]+tblBudget[[#This Row],[Approved Changes]]</f>
        <v>0</v>
      </c>
      <c r="F17" s="113">
        <f ca="1">tblBudget[[#This Row],[Revised Budget]]/$B$5</f>
        <v>0</v>
      </c>
      <c r="G17" s="109" cm="1">
        <f t="array" aca="1" ref="G17" ca="1">SUMPRODUCT((tblForecastLog[Category]=tblBudget[[#This Row],[Category]])*ISNUMBER(MATCH(tblForecastLog[Forecasted Cost Type],{"Actual Cost","Purchase Order","Subcontract","Subcontract CO #1","Subcontract CO #2","Subcontract CO #3","Subcontract CO #4","Subcontract CO #5","Subcontract CO #6","Subcontract CO #7","Subcontract CO #8","Subcontract CO #9","Subcontract CO #10"},0))*(tblForecastLog[Forecasted Cost Status]="Accepted")*tblForecastLog[Forecasted Cost Amount])</f>
        <v>0</v>
      </c>
      <c r="H17" s="109" cm="1">
        <f t="array" aca="1" ref="H17" ca="1">SUMPRODUCT((tblForecastLog[Category]=tblBudget[[#This Row],[Category]])*ISNUMBER(MATCH(tblForecastLog[Forecasted Cost Type],{"Initial Estimate","Revised Estimate"},0))*ISNUMBER(MATCH(tblForecastLog[Forecasted Cost Status],{"Accepted","Pending"},0))*tblForecastLog[Forecasted Cost Amount])</f>
        <v>0</v>
      </c>
      <c r="I17" s="114">
        <f ca="1">tblBudget[[#This Row],[Committed Cost]]+tblBudget[[#This Row],[Estimated Costs]]</f>
        <v>0</v>
      </c>
      <c r="J17" s="115">
        <f ca="1">tblBudget[[#This Row],[Forecasted Final Cost]]/$B$5</f>
        <v>0</v>
      </c>
      <c r="K17" s="116">
        <f ca="1">tblBudget[[#This Row],[Revised Budget]]-tblBudget[[#This Row],[Forecasted Final Cost]]</f>
        <v>0</v>
      </c>
      <c r="L17" s="108">
        <f t="shared" ca="1" si="0"/>
        <v>0</v>
      </c>
      <c r="M17" s="117"/>
    </row>
    <row r="18" spans="2:13" ht="21.75" customHeight="1" x14ac:dyDescent="0.6">
      <c r="B18" s="107" t="str" cm="1">
        <f t="array" aca="1" ref="B18" ca="1">_xlfn.LET(_xlpm.trig,RAND()*0,_xlpm.wbRaw,_xlfn.VSTACK(tblForecastLog[Category],tblBudetLog[Category]),_xlpm.wbList,_xlfn._xlws.SORT(_xlfn.UNIQUE(_xlfn._xlws.FILTER(_xlpm.wbRaw,_xlpm.wbRaw&lt;&gt;""))),_xlpm.cubeSet,CUBESET("ThisWorkbookDataModel","[Fact_JobDetail].[_Category].Members"),_xlpm.setCnt,CUBESETCOUNT(_xlpm.cubeSet),_xlpm.dmList,_xlfn.MAP(_xlfn.SEQUENCE(_xlpm.setCnt),_xlfn.LAMBDA(_xlpm.i,CUBERANKEDMEMBER("ThisWorkbookDataModel",_xlpm.cubeSet,_xlpm.i))),_xlpm.fullList,_xlfn._xlws.SORT(_xlfn.UNIQUE(_xlfn._xlws.FILTER(_xlfn.VSTACK(_xlpm.wbList,_xlpm.dmList),_xlfn.VSTACK(_xlpm.wbList,_xlpm.dmList)&lt;&gt;"All"))),_xlpm.idx,ROW()-ROW(tblBudget[[#Headers],[Category]]),IFERROR(INDEX(_xlpm.fullList,_xlpm.idx),""))</f>
        <v/>
      </c>
      <c r="C18" s="108">
        <f ca="1">SUMIFS(tblBudetLog[Budget Amount],tblBudetLog[Category],tblBudget[[#This Row],[Category]],tblBudetLog[Budget Type],"Original Budget",tblBudetLog[Budget Status],"Approved")</f>
        <v>0</v>
      </c>
      <c r="D18" s="109">
        <f ca="1">SUMIFS(tblBudetLog[Budget Amount],tblBudetLog[Category],tblBudget[[#This Row],[Category]],tblBudetLog[Budget Type],"Budget Adjustment")</f>
        <v>0</v>
      </c>
      <c r="E18" s="110">
        <f ca="1">tblBudget[[#This Row],[Original Budget]]+tblBudget[[#This Row],[Approved Changes]]</f>
        <v>0</v>
      </c>
      <c r="F18" s="113">
        <f ca="1">tblBudget[[#This Row],[Revised Budget]]/$B$5</f>
        <v>0</v>
      </c>
      <c r="G18" s="109" cm="1">
        <f t="array" aca="1" ref="G18" ca="1">SUMPRODUCT((tblForecastLog[Category]=tblBudget[[#This Row],[Category]])*ISNUMBER(MATCH(tblForecastLog[Forecasted Cost Type],{"Actual Cost","Purchase Order","Subcontract","Subcontract CO #1","Subcontract CO #2","Subcontract CO #3","Subcontract CO #4","Subcontract CO #5","Subcontract CO #6","Subcontract CO #7","Subcontract CO #8","Subcontract CO #9","Subcontract CO #10"},0))*(tblForecastLog[Forecasted Cost Status]="Accepted")*tblForecastLog[Forecasted Cost Amount])</f>
        <v>0</v>
      </c>
      <c r="H18" s="109" cm="1">
        <f t="array" aca="1" ref="H18" ca="1">SUMPRODUCT((tblForecastLog[Category]=tblBudget[[#This Row],[Category]])*ISNUMBER(MATCH(tblForecastLog[Forecasted Cost Type],{"Initial Estimate","Revised Estimate"},0))*ISNUMBER(MATCH(tblForecastLog[Forecasted Cost Status],{"Accepted","Pending"},0))*tblForecastLog[Forecasted Cost Amount])</f>
        <v>0</v>
      </c>
      <c r="I18" s="114">
        <f ca="1">tblBudget[[#This Row],[Committed Cost]]+tblBudget[[#This Row],[Estimated Costs]]</f>
        <v>0</v>
      </c>
      <c r="J18" s="115">
        <f ca="1">tblBudget[[#This Row],[Forecasted Final Cost]]/$B$5</f>
        <v>0</v>
      </c>
      <c r="K18" s="116">
        <f ca="1">tblBudget[[#This Row],[Revised Budget]]-tblBudget[[#This Row],[Forecasted Final Cost]]</f>
        <v>0</v>
      </c>
      <c r="L18" s="108">
        <f t="shared" ca="1" si="0"/>
        <v>0</v>
      </c>
      <c r="M18" s="117"/>
    </row>
    <row r="19" spans="2:13" ht="21.75" customHeight="1" x14ac:dyDescent="0.6">
      <c r="B19" s="107" t="str" cm="1">
        <f t="array" aca="1" ref="B19" ca="1">_xlfn.LET(_xlpm.trig,RAND()*0,_xlpm.wbRaw,_xlfn.VSTACK(tblForecastLog[Category],tblBudetLog[Category]),_xlpm.wbList,_xlfn._xlws.SORT(_xlfn.UNIQUE(_xlfn._xlws.FILTER(_xlpm.wbRaw,_xlpm.wbRaw&lt;&gt;""))),_xlpm.cubeSet,CUBESET("ThisWorkbookDataModel","[Fact_JobDetail].[_Category].Members"),_xlpm.setCnt,CUBESETCOUNT(_xlpm.cubeSet),_xlpm.dmList,_xlfn.MAP(_xlfn.SEQUENCE(_xlpm.setCnt),_xlfn.LAMBDA(_xlpm.i,CUBERANKEDMEMBER("ThisWorkbookDataModel",_xlpm.cubeSet,_xlpm.i))),_xlpm.fullList,_xlfn._xlws.SORT(_xlfn.UNIQUE(_xlfn._xlws.FILTER(_xlfn.VSTACK(_xlpm.wbList,_xlpm.dmList),_xlfn.VSTACK(_xlpm.wbList,_xlpm.dmList)&lt;&gt;"All"))),_xlpm.idx,ROW()-ROW(tblBudget[[#Headers],[Category]]),IFERROR(INDEX(_xlpm.fullList,_xlpm.idx),""))</f>
        <v/>
      </c>
      <c r="C19" s="108">
        <f ca="1">SUMIFS(tblBudetLog[Budget Amount],tblBudetLog[Category],tblBudget[[#This Row],[Category]],tblBudetLog[Budget Type],"Original Budget",tblBudetLog[Budget Status],"Approved")</f>
        <v>0</v>
      </c>
      <c r="D19" s="109">
        <f ca="1">SUMIFS(tblBudetLog[Budget Amount],tblBudetLog[Category],tblBudget[[#This Row],[Category]],tblBudetLog[Budget Type],"Budget Adjustment")</f>
        <v>0</v>
      </c>
      <c r="E19" s="110">
        <f ca="1">tblBudget[[#This Row],[Original Budget]]+tblBudget[[#This Row],[Approved Changes]]</f>
        <v>0</v>
      </c>
      <c r="F19" s="113">
        <f ca="1">tblBudget[[#This Row],[Revised Budget]]/$B$5</f>
        <v>0</v>
      </c>
      <c r="G19" s="109" cm="1">
        <f t="array" aca="1" ref="G19" ca="1">SUMPRODUCT((tblForecastLog[Category]=tblBudget[[#This Row],[Category]])*ISNUMBER(MATCH(tblForecastLog[Forecasted Cost Type],{"Actual Cost","Purchase Order","Subcontract","Subcontract CO #1","Subcontract CO #2","Subcontract CO #3","Subcontract CO #4","Subcontract CO #5","Subcontract CO #6","Subcontract CO #7","Subcontract CO #8","Subcontract CO #9","Subcontract CO #10"},0))*(tblForecastLog[Forecasted Cost Status]="Accepted")*tblForecastLog[Forecasted Cost Amount])</f>
        <v>0</v>
      </c>
      <c r="H19" s="109" cm="1">
        <f t="array" aca="1" ref="H19" ca="1">SUMPRODUCT((tblForecastLog[Category]=tblBudget[[#This Row],[Category]])*ISNUMBER(MATCH(tblForecastLog[Forecasted Cost Type],{"Initial Estimate","Revised Estimate"},0))*ISNUMBER(MATCH(tblForecastLog[Forecasted Cost Status],{"Accepted","Pending"},0))*tblForecastLog[Forecasted Cost Amount])</f>
        <v>0</v>
      </c>
      <c r="I19" s="114">
        <f ca="1">tblBudget[[#This Row],[Committed Cost]]+tblBudget[[#This Row],[Estimated Costs]]</f>
        <v>0</v>
      </c>
      <c r="J19" s="115">
        <f ca="1">tblBudget[[#This Row],[Forecasted Final Cost]]/$B$5</f>
        <v>0</v>
      </c>
      <c r="K19" s="116">
        <f ca="1">tblBudget[[#This Row],[Revised Budget]]-tblBudget[[#This Row],[Forecasted Final Cost]]</f>
        <v>0</v>
      </c>
      <c r="L19" s="108">
        <f t="shared" ca="1" si="0"/>
        <v>0</v>
      </c>
      <c r="M19" s="117"/>
    </row>
    <row r="20" spans="2:13" ht="21.75" customHeight="1" x14ac:dyDescent="0.6">
      <c r="B20" s="107" t="str" cm="1">
        <f t="array" aca="1" ref="B20" ca="1">_xlfn.LET(_xlpm.trig,RAND()*0,_xlpm.wbRaw,_xlfn.VSTACK(tblForecastLog[Category],tblBudetLog[Category]),_xlpm.wbList,_xlfn._xlws.SORT(_xlfn.UNIQUE(_xlfn._xlws.FILTER(_xlpm.wbRaw,_xlpm.wbRaw&lt;&gt;""))),_xlpm.cubeSet,CUBESET("ThisWorkbookDataModel","[Fact_JobDetail].[_Category].Members"),_xlpm.setCnt,CUBESETCOUNT(_xlpm.cubeSet),_xlpm.dmList,_xlfn.MAP(_xlfn.SEQUENCE(_xlpm.setCnt),_xlfn.LAMBDA(_xlpm.i,CUBERANKEDMEMBER("ThisWorkbookDataModel",_xlpm.cubeSet,_xlpm.i))),_xlpm.fullList,_xlfn._xlws.SORT(_xlfn.UNIQUE(_xlfn._xlws.FILTER(_xlfn.VSTACK(_xlpm.wbList,_xlpm.dmList),_xlfn.VSTACK(_xlpm.wbList,_xlpm.dmList)&lt;&gt;"All"))),_xlpm.idx,ROW()-ROW(tblBudget[[#Headers],[Category]]),IFERROR(INDEX(_xlpm.fullList,_xlpm.idx),""))</f>
        <v/>
      </c>
      <c r="C20" s="108">
        <f ca="1">SUMIFS(tblBudetLog[Budget Amount],tblBudetLog[Category],tblBudget[[#This Row],[Category]],tblBudetLog[Budget Type],"Original Budget",tblBudetLog[Budget Status],"Approved")</f>
        <v>0</v>
      </c>
      <c r="D20" s="109">
        <f ca="1">SUMIFS(tblBudetLog[Budget Amount],tblBudetLog[Category],tblBudget[[#This Row],[Category]],tblBudetLog[Budget Type],"Budget Adjustment")</f>
        <v>0</v>
      </c>
      <c r="E20" s="110">
        <f ca="1">tblBudget[[#This Row],[Original Budget]]+tblBudget[[#This Row],[Approved Changes]]</f>
        <v>0</v>
      </c>
      <c r="F20" s="113">
        <f ca="1">tblBudget[[#This Row],[Revised Budget]]/$B$5</f>
        <v>0</v>
      </c>
      <c r="G20" s="109" cm="1">
        <f t="array" aca="1" ref="G20" ca="1">SUMPRODUCT((tblForecastLog[Category]=tblBudget[[#This Row],[Category]])*ISNUMBER(MATCH(tblForecastLog[Forecasted Cost Type],{"Actual Cost","Purchase Order","Subcontract","Subcontract CO #1","Subcontract CO #2","Subcontract CO #3","Subcontract CO #4","Subcontract CO #5","Subcontract CO #6","Subcontract CO #7","Subcontract CO #8","Subcontract CO #9","Subcontract CO #10"},0))*(tblForecastLog[Forecasted Cost Status]="Accepted")*tblForecastLog[Forecasted Cost Amount])</f>
        <v>0</v>
      </c>
      <c r="H20" s="109" cm="1">
        <f t="array" aca="1" ref="H20" ca="1">SUMPRODUCT((tblForecastLog[Category]=tblBudget[[#This Row],[Category]])*ISNUMBER(MATCH(tblForecastLog[Forecasted Cost Type],{"Initial Estimate","Revised Estimate"},0))*ISNUMBER(MATCH(tblForecastLog[Forecasted Cost Status],{"Accepted","Pending"},0))*tblForecastLog[Forecasted Cost Amount])</f>
        <v>0</v>
      </c>
      <c r="I20" s="114">
        <f ca="1">tblBudget[[#This Row],[Committed Cost]]+tblBudget[[#This Row],[Estimated Costs]]</f>
        <v>0</v>
      </c>
      <c r="J20" s="115">
        <f ca="1">tblBudget[[#This Row],[Forecasted Final Cost]]/$B$5</f>
        <v>0</v>
      </c>
      <c r="K20" s="116">
        <f ca="1">tblBudget[[#This Row],[Revised Budget]]-tblBudget[[#This Row],[Forecasted Final Cost]]</f>
        <v>0</v>
      </c>
      <c r="L20" s="108">
        <f t="shared" ca="1" si="0"/>
        <v>0</v>
      </c>
      <c r="M20" s="117"/>
    </row>
    <row r="21" spans="2:13" ht="21.75" customHeight="1" x14ac:dyDescent="0.6">
      <c r="B21" s="107" t="str" cm="1">
        <f t="array" aca="1" ref="B21" ca="1">_xlfn.LET(_xlpm.trig,RAND()*0,_xlpm.wbRaw,_xlfn.VSTACK(tblForecastLog[Category],tblBudetLog[Category]),_xlpm.wbList,_xlfn._xlws.SORT(_xlfn.UNIQUE(_xlfn._xlws.FILTER(_xlpm.wbRaw,_xlpm.wbRaw&lt;&gt;""))),_xlpm.cubeSet,CUBESET("ThisWorkbookDataModel","[Fact_JobDetail].[_Category].Members"),_xlpm.setCnt,CUBESETCOUNT(_xlpm.cubeSet),_xlpm.dmList,_xlfn.MAP(_xlfn.SEQUENCE(_xlpm.setCnt),_xlfn.LAMBDA(_xlpm.i,CUBERANKEDMEMBER("ThisWorkbookDataModel",_xlpm.cubeSet,_xlpm.i))),_xlpm.fullList,_xlfn._xlws.SORT(_xlfn.UNIQUE(_xlfn._xlws.FILTER(_xlfn.VSTACK(_xlpm.wbList,_xlpm.dmList),_xlfn.VSTACK(_xlpm.wbList,_xlpm.dmList)&lt;&gt;"All"))),_xlpm.idx,ROW()-ROW(tblBudget[[#Headers],[Category]]),IFERROR(INDEX(_xlpm.fullList,_xlpm.idx),""))</f>
        <v/>
      </c>
      <c r="C21" s="108">
        <f ca="1">SUMIFS(tblBudetLog[Budget Amount],tblBudetLog[Category],tblBudget[[#This Row],[Category]],tblBudetLog[Budget Type],"Original Budget",tblBudetLog[Budget Status],"Approved")</f>
        <v>0</v>
      </c>
      <c r="D21" s="109">
        <f ca="1">SUMIFS(tblBudetLog[Budget Amount],tblBudetLog[Category],tblBudget[[#This Row],[Category]],tblBudetLog[Budget Type],"Budget Adjustment")</f>
        <v>0</v>
      </c>
      <c r="E21" s="110">
        <f ca="1">tblBudget[[#This Row],[Original Budget]]+tblBudget[[#This Row],[Approved Changes]]</f>
        <v>0</v>
      </c>
      <c r="F21" s="113">
        <f ca="1">tblBudget[[#This Row],[Revised Budget]]/$B$5</f>
        <v>0</v>
      </c>
      <c r="G21" s="109" cm="1">
        <f t="array" aca="1" ref="G21" ca="1">SUMPRODUCT((tblForecastLog[Category]=tblBudget[[#This Row],[Category]])*ISNUMBER(MATCH(tblForecastLog[Forecasted Cost Type],{"Actual Cost","Purchase Order","Subcontract","Subcontract CO #1","Subcontract CO #2","Subcontract CO #3","Subcontract CO #4","Subcontract CO #5","Subcontract CO #6","Subcontract CO #7","Subcontract CO #8","Subcontract CO #9","Subcontract CO #10"},0))*(tblForecastLog[Forecasted Cost Status]="Accepted")*tblForecastLog[Forecasted Cost Amount])</f>
        <v>0</v>
      </c>
      <c r="H21" s="109" cm="1">
        <f t="array" aca="1" ref="H21" ca="1">SUMPRODUCT((tblForecastLog[Category]=tblBudget[[#This Row],[Category]])*ISNUMBER(MATCH(tblForecastLog[Forecasted Cost Type],{"Initial Estimate","Revised Estimate"},0))*ISNUMBER(MATCH(tblForecastLog[Forecasted Cost Status],{"Accepted","Pending"},0))*tblForecastLog[Forecasted Cost Amount])</f>
        <v>0</v>
      </c>
      <c r="I21" s="114">
        <f ca="1">tblBudget[[#This Row],[Committed Cost]]+tblBudget[[#This Row],[Estimated Costs]]</f>
        <v>0</v>
      </c>
      <c r="J21" s="115">
        <f ca="1">tblBudget[[#This Row],[Forecasted Final Cost]]/$B$5</f>
        <v>0</v>
      </c>
      <c r="K21" s="116">
        <f ca="1">tblBudget[[#This Row],[Revised Budget]]-tblBudget[[#This Row],[Forecasted Final Cost]]</f>
        <v>0</v>
      </c>
      <c r="L21" s="108">
        <f t="shared" ca="1" si="0"/>
        <v>0</v>
      </c>
      <c r="M21" s="117"/>
    </row>
    <row r="22" spans="2:13" ht="21.75" customHeight="1" x14ac:dyDescent="0.6">
      <c r="B22" s="107" t="str" cm="1">
        <f t="array" aca="1" ref="B22" ca="1">_xlfn.LET(_xlpm.trig,RAND()*0,_xlpm.wbRaw,_xlfn.VSTACK(tblForecastLog[Category],tblBudetLog[Category]),_xlpm.wbList,_xlfn._xlws.SORT(_xlfn.UNIQUE(_xlfn._xlws.FILTER(_xlpm.wbRaw,_xlpm.wbRaw&lt;&gt;""))),_xlpm.cubeSet,CUBESET("ThisWorkbookDataModel","[Fact_JobDetail].[_Category].Members"),_xlpm.setCnt,CUBESETCOUNT(_xlpm.cubeSet),_xlpm.dmList,_xlfn.MAP(_xlfn.SEQUENCE(_xlpm.setCnt),_xlfn.LAMBDA(_xlpm.i,CUBERANKEDMEMBER("ThisWorkbookDataModel",_xlpm.cubeSet,_xlpm.i))),_xlpm.fullList,_xlfn._xlws.SORT(_xlfn.UNIQUE(_xlfn._xlws.FILTER(_xlfn.VSTACK(_xlpm.wbList,_xlpm.dmList),_xlfn.VSTACK(_xlpm.wbList,_xlpm.dmList)&lt;&gt;"All"))),_xlpm.idx,ROW()-ROW(tblBudget[[#Headers],[Category]]),IFERROR(INDEX(_xlpm.fullList,_xlpm.idx),""))</f>
        <v/>
      </c>
      <c r="C22" s="108">
        <f ca="1">SUMIFS(tblBudetLog[Budget Amount],tblBudetLog[Category],tblBudget[[#This Row],[Category]],tblBudetLog[Budget Type],"Original Budget",tblBudetLog[Budget Status],"Approved")</f>
        <v>0</v>
      </c>
      <c r="D22" s="109">
        <f ca="1">SUMIFS(tblBudetLog[Budget Amount],tblBudetLog[Category],tblBudget[[#This Row],[Category]],tblBudetLog[Budget Type],"Budget Adjustment")</f>
        <v>0</v>
      </c>
      <c r="E22" s="110">
        <f ca="1">tblBudget[[#This Row],[Original Budget]]+tblBudget[[#This Row],[Approved Changes]]</f>
        <v>0</v>
      </c>
      <c r="F22" s="113">
        <f ca="1">tblBudget[[#This Row],[Revised Budget]]/$B$5</f>
        <v>0</v>
      </c>
      <c r="G22" s="109" cm="1">
        <f t="array" aca="1" ref="G22" ca="1">SUMPRODUCT((tblForecastLog[Category]=tblBudget[[#This Row],[Category]])*ISNUMBER(MATCH(tblForecastLog[Forecasted Cost Type],{"Actual Cost","Purchase Order","Subcontract","Subcontract CO #1","Subcontract CO #2","Subcontract CO #3","Subcontract CO #4","Subcontract CO #5","Subcontract CO #6","Subcontract CO #7","Subcontract CO #8","Subcontract CO #9","Subcontract CO #10"},0))*(tblForecastLog[Forecasted Cost Status]="Accepted")*tblForecastLog[Forecasted Cost Amount])</f>
        <v>0</v>
      </c>
      <c r="H22" s="109" cm="1">
        <f t="array" aca="1" ref="H22" ca="1">SUMPRODUCT((tblForecastLog[Category]=tblBudget[[#This Row],[Category]])*ISNUMBER(MATCH(tblForecastLog[Forecasted Cost Type],{"Initial Estimate","Revised Estimate"},0))*ISNUMBER(MATCH(tblForecastLog[Forecasted Cost Status],{"Accepted","Pending"},0))*tblForecastLog[Forecasted Cost Amount])</f>
        <v>0</v>
      </c>
      <c r="I22" s="114">
        <f ca="1">tblBudget[[#This Row],[Committed Cost]]+tblBudget[[#This Row],[Estimated Costs]]</f>
        <v>0</v>
      </c>
      <c r="J22" s="115">
        <f ca="1">tblBudget[[#This Row],[Forecasted Final Cost]]/$B$5</f>
        <v>0</v>
      </c>
      <c r="K22" s="116">
        <f ca="1">tblBudget[[#This Row],[Revised Budget]]-tblBudget[[#This Row],[Forecasted Final Cost]]</f>
        <v>0</v>
      </c>
      <c r="L22" s="108">
        <f t="shared" ca="1" si="0"/>
        <v>0</v>
      </c>
      <c r="M22" s="117"/>
    </row>
    <row r="23" spans="2:13" ht="21.75" customHeight="1" x14ac:dyDescent="0.6">
      <c r="B23" s="107" t="str" cm="1">
        <f t="array" aca="1" ref="B23" ca="1">_xlfn.LET(_xlpm.trig,RAND()*0,_xlpm.wbRaw,_xlfn.VSTACK(tblForecastLog[Category],tblBudetLog[Category]),_xlpm.wbList,_xlfn._xlws.SORT(_xlfn.UNIQUE(_xlfn._xlws.FILTER(_xlpm.wbRaw,_xlpm.wbRaw&lt;&gt;""))),_xlpm.cubeSet,CUBESET("ThisWorkbookDataModel","[Fact_JobDetail].[_Category].Members"),_xlpm.setCnt,CUBESETCOUNT(_xlpm.cubeSet),_xlpm.dmList,_xlfn.MAP(_xlfn.SEQUENCE(_xlpm.setCnt),_xlfn.LAMBDA(_xlpm.i,CUBERANKEDMEMBER("ThisWorkbookDataModel",_xlpm.cubeSet,_xlpm.i))),_xlpm.fullList,_xlfn._xlws.SORT(_xlfn.UNIQUE(_xlfn._xlws.FILTER(_xlfn.VSTACK(_xlpm.wbList,_xlpm.dmList),_xlfn.VSTACK(_xlpm.wbList,_xlpm.dmList)&lt;&gt;"All"))),_xlpm.idx,ROW()-ROW(tblBudget[[#Headers],[Category]]),IFERROR(INDEX(_xlpm.fullList,_xlpm.idx),""))</f>
        <v/>
      </c>
      <c r="C23" s="108">
        <f ca="1">SUMIFS(tblBudetLog[Budget Amount],tblBudetLog[Category],tblBudget[[#This Row],[Category]],tblBudetLog[Budget Type],"Original Budget",tblBudetLog[Budget Status],"Approved")</f>
        <v>0</v>
      </c>
      <c r="D23" s="109">
        <f ca="1">SUMIFS(tblBudetLog[Budget Amount],tblBudetLog[Category],tblBudget[[#This Row],[Category]],tblBudetLog[Budget Type],"Budget Adjustment")</f>
        <v>0</v>
      </c>
      <c r="E23" s="110">
        <f ca="1">tblBudget[[#This Row],[Original Budget]]+tblBudget[[#This Row],[Approved Changes]]</f>
        <v>0</v>
      </c>
      <c r="F23" s="113">
        <f ca="1">tblBudget[[#This Row],[Revised Budget]]/$B$5</f>
        <v>0</v>
      </c>
      <c r="G23" s="109" cm="1">
        <f t="array" aca="1" ref="G23" ca="1">SUMPRODUCT((tblForecastLog[Category]=tblBudget[[#This Row],[Category]])*ISNUMBER(MATCH(tblForecastLog[Forecasted Cost Type],{"Actual Cost","Purchase Order","Subcontract","Subcontract CO #1","Subcontract CO #2","Subcontract CO #3","Subcontract CO #4","Subcontract CO #5","Subcontract CO #6","Subcontract CO #7","Subcontract CO #8","Subcontract CO #9","Subcontract CO #10"},0))*(tblForecastLog[Forecasted Cost Status]="Accepted")*tblForecastLog[Forecasted Cost Amount])</f>
        <v>0</v>
      </c>
      <c r="H23" s="109" cm="1">
        <f t="array" aca="1" ref="H23" ca="1">SUMPRODUCT((tblForecastLog[Category]=tblBudget[[#This Row],[Category]])*ISNUMBER(MATCH(tblForecastLog[Forecasted Cost Type],{"Initial Estimate","Revised Estimate"},0))*ISNUMBER(MATCH(tblForecastLog[Forecasted Cost Status],{"Accepted","Pending"},0))*tblForecastLog[Forecasted Cost Amount])</f>
        <v>0</v>
      </c>
      <c r="I23" s="114">
        <f ca="1">tblBudget[[#This Row],[Committed Cost]]+tblBudget[[#This Row],[Estimated Costs]]</f>
        <v>0</v>
      </c>
      <c r="J23" s="115">
        <f ca="1">tblBudget[[#This Row],[Forecasted Final Cost]]/$B$5</f>
        <v>0</v>
      </c>
      <c r="K23" s="116">
        <f ca="1">tblBudget[[#This Row],[Revised Budget]]-tblBudget[[#This Row],[Forecasted Final Cost]]</f>
        <v>0</v>
      </c>
      <c r="L23" s="108">
        <f t="shared" ca="1" si="0"/>
        <v>0</v>
      </c>
      <c r="M23" s="117"/>
    </row>
    <row r="24" spans="2:13" ht="21.75" customHeight="1" x14ac:dyDescent="0.6">
      <c r="B24" s="107" t="str" cm="1">
        <f t="array" aca="1" ref="B24" ca="1">_xlfn.LET(_xlpm.trig,RAND()*0,_xlpm.wbRaw,_xlfn.VSTACK(tblForecastLog[Category],tblBudetLog[Category]),_xlpm.wbList,_xlfn._xlws.SORT(_xlfn.UNIQUE(_xlfn._xlws.FILTER(_xlpm.wbRaw,_xlpm.wbRaw&lt;&gt;""))),_xlpm.cubeSet,CUBESET("ThisWorkbookDataModel","[Fact_JobDetail].[_Category].Members"),_xlpm.setCnt,CUBESETCOUNT(_xlpm.cubeSet),_xlpm.dmList,_xlfn.MAP(_xlfn.SEQUENCE(_xlpm.setCnt),_xlfn.LAMBDA(_xlpm.i,CUBERANKEDMEMBER("ThisWorkbookDataModel",_xlpm.cubeSet,_xlpm.i))),_xlpm.fullList,_xlfn._xlws.SORT(_xlfn.UNIQUE(_xlfn._xlws.FILTER(_xlfn.VSTACK(_xlpm.wbList,_xlpm.dmList),_xlfn.VSTACK(_xlpm.wbList,_xlpm.dmList)&lt;&gt;"All"))),_xlpm.idx,ROW()-ROW(tblBudget[[#Headers],[Category]]),IFERROR(INDEX(_xlpm.fullList,_xlpm.idx),""))</f>
        <v/>
      </c>
      <c r="C24" s="108">
        <f ca="1">SUMIFS(tblBudetLog[Budget Amount],tblBudetLog[Category],tblBudget[[#This Row],[Category]],tblBudetLog[Budget Type],"Original Budget",tblBudetLog[Budget Status],"Approved")</f>
        <v>0</v>
      </c>
      <c r="D24" s="109">
        <f ca="1">SUMIFS(tblBudetLog[Budget Amount],tblBudetLog[Category],tblBudget[[#This Row],[Category]],tblBudetLog[Budget Type],"Budget Adjustment")</f>
        <v>0</v>
      </c>
      <c r="E24" s="110">
        <f ca="1">tblBudget[[#This Row],[Original Budget]]+tblBudget[[#This Row],[Approved Changes]]</f>
        <v>0</v>
      </c>
      <c r="F24" s="113">
        <f ca="1">tblBudget[[#This Row],[Revised Budget]]/$B$5</f>
        <v>0</v>
      </c>
      <c r="G24" s="109" cm="1">
        <f t="array" aca="1" ref="G24" ca="1">SUMPRODUCT((tblForecastLog[Category]=tblBudget[[#This Row],[Category]])*ISNUMBER(MATCH(tblForecastLog[Forecasted Cost Type],{"Actual Cost","Purchase Order","Subcontract","Subcontract CO #1","Subcontract CO #2","Subcontract CO #3","Subcontract CO #4","Subcontract CO #5","Subcontract CO #6","Subcontract CO #7","Subcontract CO #8","Subcontract CO #9","Subcontract CO #10"},0))*(tblForecastLog[Forecasted Cost Status]="Accepted")*tblForecastLog[Forecasted Cost Amount])</f>
        <v>0</v>
      </c>
      <c r="H24" s="109" cm="1">
        <f t="array" aca="1" ref="H24" ca="1">SUMPRODUCT((tblForecastLog[Category]=tblBudget[[#This Row],[Category]])*ISNUMBER(MATCH(tblForecastLog[Forecasted Cost Type],{"Initial Estimate","Revised Estimate"},0))*ISNUMBER(MATCH(tblForecastLog[Forecasted Cost Status],{"Accepted","Pending"},0))*tblForecastLog[Forecasted Cost Amount])</f>
        <v>0</v>
      </c>
      <c r="I24" s="114">
        <f ca="1">tblBudget[[#This Row],[Committed Cost]]+tblBudget[[#This Row],[Estimated Costs]]</f>
        <v>0</v>
      </c>
      <c r="J24" s="115">
        <f ca="1">tblBudget[[#This Row],[Forecasted Final Cost]]/$B$5</f>
        <v>0</v>
      </c>
      <c r="K24" s="116">
        <f ca="1">tblBudget[[#This Row],[Revised Budget]]-tblBudget[[#This Row],[Forecasted Final Cost]]</f>
        <v>0</v>
      </c>
      <c r="L24" s="108">
        <f t="shared" ca="1" si="0"/>
        <v>0</v>
      </c>
      <c r="M24" s="117"/>
    </row>
    <row r="25" spans="2:13" ht="21.75" customHeight="1" x14ac:dyDescent="0.6">
      <c r="B25" s="107" t="str" cm="1">
        <f t="array" aca="1" ref="B25" ca="1">_xlfn.LET(_xlpm.trig,RAND()*0,_xlpm.wbRaw,_xlfn.VSTACK(tblForecastLog[Category],tblBudetLog[Category]),_xlpm.wbList,_xlfn._xlws.SORT(_xlfn.UNIQUE(_xlfn._xlws.FILTER(_xlpm.wbRaw,_xlpm.wbRaw&lt;&gt;""))),_xlpm.cubeSet,CUBESET("ThisWorkbookDataModel","[Fact_JobDetail].[_Category].Members"),_xlpm.setCnt,CUBESETCOUNT(_xlpm.cubeSet),_xlpm.dmList,_xlfn.MAP(_xlfn.SEQUENCE(_xlpm.setCnt),_xlfn.LAMBDA(_xlpm.i,CUBERANKEDMEMBER("ThisWorkbookDataModel",_xlpm.cubeSet,_xlpm.i))),_xlpm.fullList,_xlfn._xlws.SORT(_xlfn.UNIQUE(_xlfn._xlws.FILTER(_xlfn.VSTACK(_xlpm.wbList,_xlpm.dmList),_xlfn.VSTACK(_xlpm.wbList,_xlpm.dmList)&lt;&gt;"All"))),_xlpm.idx,ROW()-ROW(tblBudget[[#Headers],[Category]]),IFERROR(INDEX(_xlpm.fullList,_xlpm.idx),""))</f>
        <v/>
      </c>
      <c r="C25" s="108">
        <f ca="1">SUMIFS(tblBudetLog[Budget Amount],tblBudetLog[Category],tblBudget[[#This Row],[Category]],tblBudetLog[Budget Type],"Original Budget",tblBudetLog[Budget Status],"Approved")</f>
        <v>0</v>
      </c>
      <c r="D25" s="109">
        <f ca="1">SUMIFS(tblBudetLog[Budget Amount],tblBudetLog[Category],tblBudget[[#This Row],[Category]],tblBudetLog[Budget Type],"Budget Adjustment")</f>
        <v>0</v>
      </c>
      <c r="E25" s="110">
        <f ca="1">tblBudget[[#This Row],[Original Budget]]+tblBudget[[#This Row],[Approved Changes]]</f>
        <v>0</v>
      </c>
      <c r="F25" s="113">
        <f ca="1">tblBudget[[#This Row],[Revised Budget]]/$B$5</f>
        <v>0</v>
      </c>
      <c r="G25" s="109" cm="1">
        <f t="array" aca="1" ref="G25" ca="1">SUMPRODUCT((tblForecastLog[Category]=tblBudget[[#This Row],[Category]])*ISNUMBER(MATCH(tblForecastLog[Forecasted Cost Type],{"Actual Cost","Purchase Order","Subcontract","Subcontract CO #1","Subcontract CO #2","Subcontract CO #3","Subcontract CO #4","Subcontract CO #5","Subcontract CO #6","Subcontract CO #7","Subcontract CO #8","Subcontract CO #9","Subcontract CO #10"},0))*(tblForecastLog[Forecasted Cost Status]="Accepted")*tblForecastLog[Forecasted Cost Amount])</f>
        <v>0</v>
      </c>
      <c r="H25" s="109" cm="1">
        <f t="array" aca="1" ref="H25" ca="1">SUMPRODUCT((tblForecastLog[Category]=tblBudget[[#This Row],[Category]])*ISNUMBER(MATCH(tblForecastLog[Forecasted Cost Type],{"Initial Estimate","Revised Estimate"},0))*ISNUMBER(MATCH(tblForecastLog[Forecasted Cost Status],{"Accepted","Pending"},0))*tblForecastLog[Forecasted Cost Amount])</f>
        <v>0</v>
      </c>
      <c r="I25" s="114">
        <f ca="1">tblBudget[[#This Row],[Committed Cost]]+tblBudget[[#This Row],[Estimated Costs]]</f>
        <v>0</v>
      </c>
      <c r="J25" s="115">
        <f ca="1">tblBudget[[#This Row],[Forecasted Final Cost]]/$B$5</f>
        <v>0</v>
      </c>
      <c r="K25" s="116">
        <f ca="1">tblBudget[[#This Row],[Revised Budget]]-tblBudget[[#This Row],[Forecasted Final Cost]]</f>
        <v>0</v>
      </c>
      <c r="L25" s="108">
        <f t="shared" ca="1" si="0"/>
        <v>0</v>
      </c>
      <c r="M25" s="117"/>
    </row>
    <row r="26" spans="2:13" ht="21.75" customHeight="1" x14ac:dyDescent="0.6">
      <c r="B26" s="107" t="str" cm="1">
        <f t="array" aca="1" ref="B26" ca="1">_xlfn.LET(_xlpm.trig,RAND()*0,_xlpm.wbRaw,_xlfn.VSTACK(tblForecastLog[Category],tblBudetLog[Category]),_xlpm.wbList,_xlfn._xlws.SORT(_xlfn.UNIQUE(_xlfn._xlws.FILTER(_xlpm.wbRaw,_xlpm.wbRaw&lt;&gt;""))),_xlpm.cubeSet,CUBESET("ThisWorkbookDataModel","[Fact_JobDetail].[_Category].Members"),_xlpm.setCnt,CUBESETCOUNT(_xlpm.cubeSet),_xlpm.dmList,_xlfn.MAP(_xlfn.SEQUENCE(_xlpm.setCnt),_xlfn.LAMBDA(_xlpm.i,CUBERANKEDMEMBER("ThisWorkbookDataModel",_xlpm.cubeSet,_xlpm.i))),_xlpm.fullList,_xlfn._xlws.SORT(_xlfn.UNIQUE(_xlfn._xlws.FILTER(_xlfn.VSTACK(_xlpm.wbList,_xlpm.dmList),_xlfn.VSTACK(_xlpm.wbList,_xlpm.dmList)&lt;&gt;"All"))),_xlpm.idx,ROW()-ROW(tblBudget[[#Headers],[Category]]),IFERROR(INDEX(_xlpm.fullList,_xlpm.idx),""))</f>
        <v/>
      </c>
      <c r="C26" s="108">
        <f ca="1">SUMIFS(tblBudetLog[Budget Amount],tblBudetLog[Category],tblBudget[[#This Row],[Category]],tblBudetLog[Budget Type],"Original Budget",tblBudetLog[Budget Status],"Approved")</f>
        <v>0</v>
      </c>
      <c r="D26" s="109">
        <f ca="1">SUMIFS(tblBudetLog[Budget Amount],tblBudetLog[Category],tblBudget[[#This Row],[Category]],tblBudetLog[Budget Type],"Budget Adjustment")</f>
        <v>0</v>
      </c>
      <c r="E26" s="110">
        <f ca="1">tblBudget[[#This Row],[Original Budget]]+tblBudget[[#This Row],[Approved Changes]]</f>
        <v>0</v>
      </c>
      <c r="F26" s="113">
        <f ca="1">tblBudget[[#This Row],[Revised Budget]]/$B$5</f>
        <v>0</v>
      </c>
      <c r="G26" s="109" cm="1">
        <f t="array" aca="1" ref="G26" ca="1">SUMPRODUCT((tblForecastLog[Category]=tblBudget[[#This Row],[Category]])*ISNUMBER(MATCH(tblForecastLog[Forecasted Cost Type],{"Actual Cost","Purchase Order","Subcontract","Subcontract CO #1","Subcontract CO #2","Subcontract CO #3","Subcontract CO #4","Subcontract CO #5","Subcontract CO #6","Subcontract CO #7","Subcontract CO #8","Subcontract CO #9","Subcontract CO #10"},0))*(tblForecastLog[Forecasted Cost Status]="Accepted")*tblForecastLog[Forecasted Cost Amount])</f>
        <v>0</v>
      </c>
      <c r="H26" s="109" cm="1">
        <f t="array" aca="1" ref="H26" ca="1">SUMPRODUCT((tblForecastLog[Category]=tblBudget[[#This Row],[Category]])*ISNUMBER(MATCH(tblForecastLog[Forecasted Cost Type],{"Initial Estimate","Revised Estimate"},0))*ISNUMBER(MATCH(tblForecastLog[Forecasted Cost Status],{"Accepted","Pending"},0))*tblForecastLog[Forecasted Cost Amount])</f>
        <v>0</v>
      </c>
      <c r="I26" s="114">
        <f ca="1">tblBudget[[#This Row],[Committed Cost]]+tblBudget[[#This Row],[Estimated Costs]]</f>
        <v>0</v>
      </c>
      <c r="J26" s="115">
        <f ca="1">tblBudget[[#This Row],[Forecasted Final Cost]]/$B$5</f>
        <v>0</v>
      </c>
      <c r="K26" s="116">
        <f ca="1">tblBudget[[#This Row],[Revised Budget]]-tblBudget[[#This Row],[Forecasted Final Cost]]</f>
        <v>0</v>
      </c>
      <c r="L26" s="108">
        <f t="shared" ca="1" si="0"/>
        <v>0</v>
      </c>
      <c r="M26" s="117"/>
    </row>
    <row r="27" spans="2:13" ht="21.75" customHeight="1" x14ac:dyDescent="0.6">
      <c r="B27" s="107" t="str" cm="1">
        <f t="array" aca="1" ref="B27" ca="1">_xlfn.LET(_xlpm.trig,RAND()*0,_xlpm.wbRaw,_xlfn.VSTACK(tblForecastLog[Category],tblBudetLog[Category]),_xlpm.wbList,_xlfn._xlws.SORT(_xlfn.UNIQUE(_xlfn._xlws.FILTER(_xlpm.wbRaw,_xlpm.wbRaw&lt;&gt;""))),_xlpm.cubeSet,CUBESET("ThisWorkbookDataModel","[Fact_JobDetail].[_Category].Members"),_xlpm.setCnt,CUBESETCOUNT(_xlpm.cubeSet),_xlpm.dmList,_xlfn.MAP(_xlfn.SEQUENCE(_xlpm.setCnt),_xlfn.LAMBDA(_xlpm.i,CUBERANKEDMEMBER("ThisWorkbookDataModel",_xlpm.cubeSet,_xlpm.i))),_xlpm.fullList,_xlfn._xlws.SORT(_xlfn.UNIQUE(_xlfn._xlws.FILTER(_xlfn.VSTACK(_xlpm.wbList,_xlpm.dmList),_xlfn.VSTACK(_xlpm.wbList,_xlpm.dmList)&lt;&gt;"All"))),_xlpm.idx,ROW()-ROW(tblBudget[[#Headers],[Category]]),IFERROR(INDEX(_xlpm.fullList,_xlpm.idx),""))</f>
        <v/>
      </c>
      <c r="C27" s="108">
        <f ca="1">SUMIFS(tblBudetLog[Budget Amount],tblBudetLog[Category],tblBudget[[#This Row],[Category]],tblBudetLog[Budget Type],"Original Budget",tblBudetLog[Budget Status],"Approved")</f>
        <v>0</v>
      </c>
      <c r="D27" s="109">
        <f ca="1">SUMIFS(tblBudetLog[Budget Amount],tblBudetLog[Category],tblBudget[[#This Row],[Category]],tblBudetLog[Budget Type],"Budget Adjustment")</f>
        <v>0</v>
      </c>
      <c r="E27" s="110">
        <f ca="1">tblBudget[[#This Row],[Original Budget]]+tblBudget[[#This Row],[Approved Changes]]</f>
        <v>0</v>
      </c>
      <c r="F27" s="113">
        <f ca="1">tblBudget[[#This Row],[Revised Budget]]/$B$5</f>
        <v>0</v>
      </c>
      <c r="G27" s="109" cm="1">
        <f t="array" aca="1" ref="G27" ca="1">SUMPRODUCT((tblForecastLog[Category]=tblBudget[[#This Row],[Category]])*ISNUMBER(MATCH(tblForecastLog[Forecasted Cost Type],{"Actual Cost","Purchase Order","Subcontract","Subcontract CO #1","Subcontract CO #2","Subcontract CO #3","Subcontract CO #4","Subcontract CO #5","Subcontract CO #6","Subcontract CO #7","Subcontract CO #8","Subcontract CO #9","Subcontract CO #10"},0))*(tblForecastLog[Forecasted Cost Status]="Accepted")*tblForecastLog[Forecasted Cost Amount])</f>
        <v>0</v>
      </c>
      <c r="H27" s="109" cm="1">
        <f t="array" aca="1" ref="H27" ca="1">SUMPRODUCT((tblForecastLog[Category]=tblBudget[[#This Row],[Category]])*ISNUMBER(MATCH(tblForecastLog[Forecasted Cost Type],{"Initial Estimate","Revised Estimate"},0))*ISNUMBER(MATCH(tblForecastLog[Forecasted Cost Status],{"Accepted","Pending"},0))*tblForecastLog[Forecasted Cost Amount])</f>
        <v>0</v>
      </c>
      <c r="I27" s="114">
        <f ca="1">tblBudget[[#This Row],[Committed Cost]]+tblBudget[[#This Row],[Estimated Costs]]</f>
        <v>0</v>
      </c>
      <c r="J27" s="115">
        <f ca="1">tblBudget[[#This Row],[Forecasted Final Cost]]/$B$5</f>
        <v>0</v>
      </c>
      <c r="K27" s="116">
        <f ca="1">tblBudget[[#This Row],[Revised Budget]]-tblBudget[[#This Row],[Forecasted Final Cost]]</f>
        <v>0</v>
      </c>
      <c r="L27" s="108">
        <f t="shared" ca="1" si="0"/>
        <v>0</v>
      </c>
      <c r="M27" s="117"/>
    </row>
    <row r="28" spans="2:13" ht="21.75" customHeight="1" x14ac:dyDescent="0.6">
      <c r="B28" s="107" t="str" cm="1">
        <f t="array" aca="1" ref="B28" ca="1">_xlfn.LET(_xlpm.trig,RAND()*0,_xlpm.wbRaw,_xlfn.VSTACK(tblForecastLog[Category],tblBudetLog[Category]),_xlpm.wbList,_xlfn._xlws.SORT(_xlfn.UNIQUE(_xlfn._xlws.FILTER(_xlpm.wbRaw,_xlpm.wbRaw&lt;&gt;""))),_xlpm.cubeSet,CUBESET("ThisWorkbookDataModel","[Fact_JobDetail].[_Category].Members"),_xlpm.setCnt,CUBESETCOUNT(_xlpm.cubeSet),_xlpm.dmList,_xlfn.MAP(_xlfn.SEQUENCE(_xlpm.setCnt),_xlfn.LAMBDA(_xlpm.i,CUBERANKEDMEMBER("ThisWorkbookDataModel",_xlpm.cubeSet,_xlpm.i))),_xlpm.fullList,_xlfn._xlws.SORT(_xlfn.UNIQUE(_xlfn._xlws.FILTER(_xlfn.VSTACK(_xlpm.wbList,_xlpm.dmList),_xlfn.VSTACK(_xlpm.wbList,_xlpm.dmList)&lt;&gt;"All"))),_xlpm.idx,ROW()-ROW(tblBudget[[#Headers],[Category]]),IFERROR(INDEX(_xlpm.fullList,_xlpm.idx),""))</f>
        <v/>
      </c>
      <c r="C28" s="108">
        <f ca="1">SUMIFS(tblBudetLog[Budget Amount],tblBudetLog[Category],tblBudget[[#This Row],[Category]],tblBudetLog[Budget Type],"Original Budget",tblBudetLog[Budget Status],"Approved")</f>
        <v>0</v>
      </c>
      <c r="D28" s="109">
        <f ca="1">SUMIFS(tblBudetLog[Budget Amount],tblBudetLog[Category],tblBudget[[#This Row],[Category]],tblBudetLog[Budget Type],"Budget Adjustment")</f>
        <v>0</v>
      </c>
      <c r="E28" s="110">
        <f ca="1">tblBudget[[#This Row],[Original Budget]]+tblBudget[[#This Row],[Approved Changes]]</f>
        <v>0</v>
      </c>
      <c r="F28" s="113">
        <f ca="1">tblBudget[[#This Row],[Revised Budget]]/$B$5</f>
        <v>0</v>
      </c>
      <c r="G28" s="109" cm="1">
        <f t="array" aca="1" ref="G28" ca="1">SUMPRODUCT((tblForecastLog[Category]=tblBudget[[#This Row],[Category]])*ISNUMBER(MATCH(tblForecastLog[Forecasted Cost Type],{"Actual Cost","Purchase Order","Subcontract","Subcontract CO #1","Subcontract CO #2","Subcontract CO #3","Subcontract CO #4","Subcontract CO #5","Subcontract CO #6","Subcontract CO #7","Subcontract CO #8","Subcontract CO #9","Subcontract CO #10"},0))*(tblForecastLog[Forecasted Cost Status]="Accepted")*tblForecastLog[Forecasted Cost Amount])</f>
        <v>0</v>
      </c>
      <c r="H28" s="109" cm="1">
        <f t="array" aca="1" ref="H28" ca="1">SUMPRODUCT((tblForecastLog[Category]=tblBudget[[#This Row],[Category]])*ISNUMBER(MATCH(tblForecastLog[Forecasted Cost Type],{"Initial Estimate","Revised Estimate"},0))*ISNUMBER(MATCH(tblForecastLog[Forecasted Cost Status],{"Accepted","Pending"},0))*tblForecastLog[Forecasted Cost Amount])</f>
        <v>0</v>
      </c>
      <c r="I28" s="114">
        <f ca="1">tblBudget[[#This Row],[Committed Cost]]+tblBudget[[#This Row],[Estimated Costs]]</f>
        <v>0</v>
      </c>
      <c r="J28" s="115">
        <f ca="1">tblBudget[[#This Row],[Forecasted Final Cost]]/$B$5</f>
        <v>0</v>
      </c>
      <c r="K28" s="116">
        <f ca="1">tblBudget[[#This Row],[Revised Budget]]-tblBudget[[#This Row],[Forecasted Final Cost]]</f>
        <v>0</v>
      </c>
      <c r="L28" s="108">
        <f t="shared" ca="1" si="0"/>
        <v>0</v>
      </c>
      <c r="M28" s="117"/>
    </row>
    <row r="29" spans="2:13" ht="21.75" customHeight="1" x14ac:dyDescent="0.6">
      <c r="B29" s="107" t="str" cm="1">
        <f t="array" aca="1" ref="B29" ca="1">_xlfn.LET(_xlpm.trig,RAND()*0,_xlpm.wbRaw,_xlfn.VSTACK(tblForecastLog[Category],tblBudetLog[Category]),_xlpm.wbList,_xlfn._xlws.SORT(_xlfn.UNIQUE(_xlfn._xlws.FILTER(_xlpm.wbRaw,_xlpm.wbRaw&lt;&gt;""))),_xlpm.cubeSet,CUBESET("ThisWorkbookDataModel","[Fact_JobDetail].[_Category].Members"),_xlpm.setCnt,CUBESETCOUNT(_xlpm.cubeSet),_xlpm.dmList,_xlfn.MAP(_xlfn.SEQUENCE(_xlpm.setCnt),_xlfn.LAMBDA(_xlpm.i,CUBERANKEDMEMBER("ThisWorkbookDataModel",_xlpm.cubeSet,_xlpm.i))),_xlpm.fullList,_xlfn._xlws.SORT(_xlfn.UNIQUE(_xlfn._xlws.FILTER(_xlfn.VSTACK(_xlpm.wbList,_xlpm.dmList),_xlfn.VSTACK(_xlpm.wbList,_xlpm.dmList)&lt;&gt;"All"))),_xlpm.idx,ROW()-ROW(tblBudget[[#Headers],[Category]]),IFERROR(INDEX(_xlpm.fullList,_xlpm.idx),""))</f>
        <v/>
      </c>
      <c r="C29" s="108">
        <f ca="1">SUMIFS(tblBudetLog[Budget Amount],tblBudetLog[Category],tblBudget[[#This Row],[Category]],tblBudetLog[Budget Type],"Original Budget",tblBudetLog[Budget Status],"Approved")</f>
        <v>0</v>
      </c>
      <c r="D29" s="109">
        <f ca="1">SUMIFS(tblBudetLog[Budget Amount],tblBudetLog[Category],tblBudget[[#This Row],[Category]],tblBudetLog[Budget Type],"Budget Adjustment")</f>
        <v>0</v>
      </c>
      <c r="E29" s="110">
        <f ca="1">tblBudget[[#This Row],[Original Budget]]+tblBudget[[#This Row],[Approved Changes]]</f>
        <v>0</v>
      </c>
      <c r="F29" s="113">
        <f ca="1">tblBudget[[#This Row],[Revised Budget]]/$B$5</f>
        <v>0</v>
      </c>
      <c r="G29" s="109" cm="1">
        <f t="array" aca="1" ref="G29" ca="1">SUMPRODUCT((tblForecastLog[Category]=tblBudget[[#This Row],[Category]])*ISNUMBER(MATCH(tblForecastLog[Forecasted Cost Type],{"Actual Cost","Purchase Order","Subcontract","Subcontract CO #1","Subcontract CO #2","Subcontract CO #3","Subcontract CO #4","Subcontract CO #5","Subcontract CO #6","Subcontract CO #7","Subcontract CO #8","Subcontract CO #9","Subcontract CO #10"},0))*(tblForecastLog[Forecasted Cost Status]="Accepted")*tblForecastLog[Forecasted Cost Amount])</f>
        <v>0</v>
      </c>
      <c r="H29" s="109" cm="1">
        <f t="array" aca="1" ref="H29" ca="1">SUMPRODUCT((tblForecastLog[Category]=tblBudget[[#This Row],[Category]])*ISNUMBER(MATCH(tblForecastLog[Forecasted Cost Type],{"Initial Estimate","Revised Estimate"},0))*ISNUMBER(MATCH(tblForecastLog[Forecasted Cost Status],{"Accepted","Pending"},0))*tblForecastLog[Forecasted Cost Amount])</f>
        <v>0</v>
      </c>
      <c r="I29" s="114">
        <f ca="1">tblBudget[[#This Row],[Committed Cost]]+tblBudget[[#This Row],[Estimated Costs]]</f>
        <v>0</v>
      </c>
      <c r="J29" s="115">
        <f ca="1">tblBudget[[#This Row],[Forecasted Final Cost]]/$B$5</f>
        <v>0</v>
      </c>
      <c r="K29" s="116">
        <f ca="1">tblBudget[[#This Row],[Revised Budget]]-tblBudget[[#This Row],[Forecasted Final Cost]]</f>
        <v>0</v>
      </c>
      <c r="L29" s="108">
        <f t="shared" ca="1" si="0"/>
        <v>0</v>
      </c>
      <c r="M29" s="117"/>
    </row>
    <row r="30" spans="2:13" ht="21.75" customHeight="1" x14ac:dyDescent="0.6">
      <c r="B30" s="107" t="str" cm="1">
        <f t="array" aca="1" ref="B30" ca="1">_xlfn.LET(_xlpm.trig,RAND()*0,_xlpm.wbRaw,_xlfn.VSTACK(tblForecastLog[Category],tblBudetLog[Category]),_xlpm.wbList,_xlfn._xlws.SORT(_xlfn.UNIQUE(_xlfn._xlws.FILTER(_xlpm.wbRaw,_xlpm.wbRaw&lt;&gt;""))),_xlpm.cubeSet,CUBESET("ThisWorkbookDataModel","[Fact_JobDetail].[_Category].Members"),_xlpm.setCnt,CUBESETCOUNT(_xlpm.cubeSet),_xlpm.dmList,_xlfn.MAP(_xlfn.SEQUENCE(_xlpm.setCnt),_xlfn.LAMBDA(_xlpm.i,CUBERANKEDMEMBER("ThisWorkbookDataModel",_xlpm.cubeSet,_xlpm.i))),_xlpm.fullList,_xlfn._xlws.SORT(_xlfn.UNIQUE(_xlfn._xlws.FILTER(_xlfn.VSTACK(_xlpm.wbList,_xlpm.dmList),_xlfn.VSTACK(_xlpm.wbList,_xlpm.dmList)&lt;&gt;"All"))),_xlpm.idx,ROW()-ROW(tblBudget[[#Headers],[Category]]),IFERROR(INDEX(_xlpm.fullList,_xlpm.idx),""))</f>
        <v/>
      </c>
      <c r="C30" s="108">
        <f ca="1">SUMIFS(tblBudetLog[Budget Amount],tblBudetLog[Category],tblBudget[[#This Row],[Category]],tblBudetLog[Budget Type],"Original Budget",tblBudetLog[Budget Status],"Approved")</f>
        <v>0</v>
      </c>
      <c r="D30" s="109">
        <f ca="1">SUMIFS(tblBudetLog[Budget Amount],tblBudetLog[Category],tblBudget[[#This Row],[Category]],tblBudetLog[Budget Type],"Budget Adjustment")</f>
        <v>0</v>
      </c>
      <c r="E30" s="110">
        <f ca="1">tblBudget[[#This Row],[Original Budget]]+tblBudget[[#This Row],[Approved Changes]]</f>
        <v>0</v>
      </c>
      <c r="F30" s="113">
        <f ca="1">tblBudget[[#This Row],[Revised Budget]]/$B$5</f>
        <v>0</v>
      </c>
      <c r="G30" s="109" cm="1">
        <f t="array" aca="1" ref="G30" ca="1">SUMPRODUCT((tblForecastLog[Category]=tblBudget[[#This Row],[Category]])*ISNUMBER(MATCH(tblForecastLog[Forecasted Cost Type],{"Actual Cost","Purchase Order","Subcontract","Subcontract CO #1","Subcontract CO #2","Subcontract CO #3","Subcontract CO #4","Subcontract CO #5","Subcontract CO #6","Subcontract CO #7","Subcontract CO #8","Subcontract CO #9","Subcontract CO #10"},0))*(tblForecastLog[Forecasted Cost Status]="Accepted")*tblForecastLog[Forecasted Cost Amount])</f>
        <v>0</v>
      </c>
      <c r="H30" s="109" cm="1">
        <f t="array" aca="1" ref="H30" ca="1">SUMPRODUCT((tblForecastLog[Category]=tblBudget[[#This Row],[Category]])*ISNUMBER(MATCH(tblForecastLog[Forecasted Cost Type],{"Initial Estimate","Revised Estimate"},0))*ISNUMBER(MATCH(tblForecastLog[Forecasted Cost Status],{"Accepted","Pending"},0))*tblForecastLog[Forecasted Cost Amount])</f>
        <v>0</v>
      </c>
      <c r="I30" s="114">
        <f ca="1">tblBudget[[#This Row],[Committed Cost]]+tblBudget[[#This Row],[Estimated Costs]]</f>
        <v>0</v>
      </c>
      <c r="J30" s="115">
        <f ca="1">tblBudget[[#This Row],[Forecasted Final Cost]]/$B$5</f>
        <v>0</v>
      </c>
      <c r="K30" s="116">
        <f ca="1">tblBudget[[#This Row],[Revised Budget]]-tblBudget[[#This Row],[Forecasted Final Cost]]</f>
        <v>0</v>
      </c>
      <c r="L30" s="108">
        <f t="shared" ca="1" si="0"/>
        <v>0</v>
      </c>
      <c r="M30" s="117"/>
    </row>
    <row r="31" spans="2:13" ht="21.75" customHeight="1" x14ac:dyDescent="0.6">
      <c r="B31" s="107" t="str" cm="1">
        <f t="array" aca="1" ref="B31" ca="1">_xlfn.LET(_xlpm.trig,RAND()*0,_xlpm.wbRaw,_xlfn.VSTACK(tblForecastLog[Category],tblBudetLog[Category]),_xlpm.wbList,_xlfn._xlws.SORT(_xlfn.UNIQUE(_xlfn._xlws.FILTER(_xlpm.wbRaw,_xlpm.wbRaw&lt;&gt;""))),_xlpm.cubeSet,CUBESET("ThisWorkbookDataModel","[Fact_JobDetail].[_Category].Members"),_xlpm.setCnt,CUBESETCOUNT(_xlpm.cubeSet),_xlpm.dmList,_xlfn.MAP(_xlfn.SEQUENCE(_xlpm.setCnt),_xlfn.LAMBDA(_xlpm.i,CUBERANKEDMEMBER("ThisWorkbookDataModel",_xlpm.cubeSet,_xlpm.i))),_xlpm.fullList,_xlfn._xlws.SORT(_xlfn.UNIQUE(_xlfn._xlws.FILTER(_xlfn.VSTACK(_xlpm.wbList,_xlpm.dmList),_xlfn.VSTACK(_xlpm.wbList,_xlpm.dmList)&lt;&gt;"All"))),_xlpm.idx,ROW()-ROW(tblBudget[[#Headers],[Category]]),IFERROR(INDEX(_xlpm.fullList,_xlpm.idx),""))</f>
        <v/>
      </c>
      <c r="C31" s="108">
        <f ca="1">SUMIFS(tblBudetLog[Budget Amount],tblBudetLog[Category],tblBudget[[#This Row],[Category]],tblBudetLog[Budget Type],"Original Budget",tblBudetLog[Budget Status],"Approved")</f>
        <v>0</v>
      </c>
      <c r="D31" s="109">
        <f ca="1">SUMIFS(tblBudetLog[Budget Amount],tblBudetLog[Category],tblBudget[[#This Row],[Category]],tblBudetLog[Budget Type],"Budget Adjustment")</f>
        <v>0</v>
      </c>
      <c r="E31" s="110">
        <f ca="1">tblBudget[[#This Row],[Original Budget]]+tblBudget[[#This Row],[Approved Changes]]</f>
        <v>0</v>
      </c>
      <c r="F31" s="113">
        <f ca="1">tblBudget[[#This Row],[Revised Budget]]/$B$5</f>
        <v>0</v>
      </c>
      <c r="G31" s="109" cm="1">
        <f t="array" aca="1" ref="G31" ca="1">SUMPRODUCT((tblForecastLog[Category]=tblBudget[[#This Row],[Category]])*ISNUMBER(MATCH(tblForecastLog[Forecasted Cost Type],{"Actual Cost","Purchase Order","Subcontract","Subcontract CO #1","Subcontract CO #2","Subcontract CO #3","Subcontract CO #4","Subcontract CO #5","Subcontract CO #6","Subcontract CO #7","Subcontract CO #8","Subcontract CO #9","Subcontract CO #10"},0))*(tblForecastLog[Forecasted Cost Status]="Accepted")*tblForecastLog[Forecasted Cost Amount])</f>
        <v>0</v>
      </c>
      <c r="H31" s="109" cm="1">
        <f t="array" aca="1" ref="H31" ca="1">SUMPRODUCT((tblForecastLog[Category]=tblBudget[[#This Row],[Category]])*ISNUMBER(MATCH(tblForecastLog[Forecasted Cost Type],{"Initial Estimate","Revised Estimate"},0))*ISNUMBER(MATCH(tblForecastLog[Forecasted Cost Status],{"Accepted","Pending"},0))*tblForecastLog[Forecasted Cost Amount])</f>
        <v>0</v>
      </c>
      <c r="I31" s="114">
        <f ca="1">tblBudget[[#This Row],[Committed Cost]]+tblBudget[[#This Row],[Estimated Costs]]</f>
        <v>0</v>
      </c>
      <c r="J31" s="115">
        <f ca="1">tblBudget[[#This Row],[Forecasted Final Cost]]/$B$5</f>
        <v>0</v>
      </c>
      <c r="K31" s="116">
        <f ca="1">tblBudget[[#This Row],[Revised Budget]]-tblBudget[[#This Row],[Forecasted Final Cost]]</f>
        <v>0</v>
      </c>
      <c r="L31" s="108">
        <f t="shared" ca="1" si="0"/>
        <v>0</v>
      </c>
      <c r="M31" s="117"/>
    </row>
    <row r="32" spans="2:13" ht="21.75" customHeight="1" x14ac:dyDescent="0.6">
      <c r="B32" s="107" t="str" cm="1">
        <f t="array" aca="1" ref="B32" ca="1">_xlfn.LET(_xlpm.trig,RAND()*0,_xlpm.wbRaw,_xlfn.VSTACK(tblForecastLog[Category],tblBudetLog[Category]),_xlpm.wbList,_xlfn._xlws.SORT(_xlfn.UNIQUE(_xlfn._xlws.FILTER(_xlpm.wbRaw,_xlpm.wbRaw&lt;&gt;""))),_xlpm.cubeSet,CUBESET("ThisWorkbookDataModel","[Fact_JobDetail].[_Category].Members"),_xlpm.setCnt,CUBESETCOUNT(_xlpm.cubeSet),_xlpm.dmList,_xlfn.MAP(_xlfn.SEQUENCE(_xlpm.setCnt),_xlfn.LAMBDA(_xlpm.i,CUBERANKEDMEMBER("ThisWorkbookDataModel",_xlpm.cubeSet,_xlpm.i))),_xlpm.fullList,_xlfn._xlws.SORT(_xlfn.UNIQUE(_xlfn._xlws.FILTER(_xlfn.VSTACK(_xlpm.wbList,_xlpm.dmList),_xlfn.VSTACK(_xlpm.wbList,_xlpm.dmList)&lt;&gt;"All"))),_xlpm.idx,ROW()-ROW(tblBudget[[#Headers],[Category]]),IFERROR(INDEX(_xlpm.fullList,_xlpm.idx),""))</f>
        <v/>
      </c>
      <c r="C32" s="108">
        <f ca="1">SUMIFS(tblBudetLog[Budget Amount],tblBudetLog[Category],tblBudget[[#This Row],[Category]],tblBudetLog[Budget Type],"Original Budget",tblBudetLog[Budget Status],"Approved")</f>
        <v>0</v>
      </c>
      <c r="D32" s="109">
        <f ca="1">SUMIFS(tblBudetLog[Budget Amount],tblBudetLog[Category],tblBudget[[#This Row],[Category]],tblBudetLog[Budget Type],"Budget Adjustment")</f>
        <v>0</v>
      </c>
      <c r="E32" s="110">
        <f ca="1">tblBudget[[#This Row],[Original Budget]]+tblBudget[[#This Row],[Approved Changes]]</f>
        <v>0</v>
      </c>
      <c r="F32" s="113">
        <f ca="1">tblBudget[[#This Row],[Revised Budget]]/$B$5</f>
        <v>0</v>
      </c>
      <c r="G32" s="109" cm="1">
        <f t="array" aca="1" ref="G32" ca="1">SUMPRODUCT((tblForecastLog[Category]=tblBudget[[#This Row],[Category]])*ISNUMBER(MATCH(tblForecastLog[Forecasted Cost Type],{"Actual Cost","Purchase Order","Subcontract","Subcontract CO #1","Subcontract CO #2","Subcontract CO #3","Subcontract CO #4","Subcontract CO #5","Subcontract CO #6","Subcontract CO #7","Subcontract CO #8","Subcontract CO #9","Subcontract CO #10"},0))*(tblForecastLog[Forecasted Cost Status]="Accepted")*tblForecastLog[Forecasted Cost Amount])</f>
        <v>0</v>
      </c>
      <c r="H32" s="109" cm="1">
        <f t="array" aca="1" ref="H32" ca="1">SUMPRODUCT((tblForecastLog[Category]=tblBudget[[#This Row],[Category]])*ISNUMBER(MATCH(tblForecastLog[Forecasted Cost Type],{"Initial Estimate","Revised Estimate"},0))*ISNUMBER(MATCH(tblForecastLog[Forecasted Cost Status],{"Accepted","Pending"},0))*tblForecastLog[Forecasted Cost Amount])</f>
        <v>0</v>
      </c>
      <c r="I32" s="114">
        <f ca="1">tblBudget[[#This Row],[Committed Cost]]+tblBudget[[#This Row],[Estimated Costs]]</f>
        <v>0</v>
      </c>
      <c r="J32" s="115">
        <f ca="1">tblBudget[[#This Row],[Forecasted Final Cost]]/$B$5</f>
        <v>0</v>
      </c>
      <c r="K32" s="116">
        <f ca="1">tblBudget[[#This Row],[Revised Budget]]-tblBudget[[#This Row],[Forecasted Final Cost]]</f>
        <v>0</v>
      </c>
      <c r="L32" s="108">
        <f t="shared" ca="1" si="0"/>
        <v>0</v>
      </c>
      <c r="M32" s="117"/>
    </row>
    <row r="33" spans="2:13" ht="21.75" customHeight="1" x14ac:dyDescent="0.6">
      <c r="B33" s="107" t="str" cm="1">
        <f t="array" aca="1" ref="B33" ca="1">_xlfn.LET(_xlpm.trig,RAND()*0,_xlpm.wbRaw,_xlfn.VSTACK(tblForecastLog[Category],tblBudetLog[Category]),_xlpm.wbList,_xlfn._xlws.SORT(_xlfn.UNIQUE(_xlfn._xlws.FILTER(_xlpm.wbRaw,_xlpm.wbRaw&lt;&gt;""))),_xlpm.cubeSet,CUBESET("ThisWorkbookDataModel","[Fact_JobDetail].[_Category].Members"),_xlpm.setCnt,CUBESETCOUNT(_xlpm.cubeSet),_xlpm.dmList,_xlfn.MAP(_xlfn.SEQUENCE(_xlpm.setCnt),_xlfn.LAMBDA(_xlpm.i,CUBERANKEDMEMBER("ThisWorkbookDataModel",_xlpm.cubeSet,_xlpm.i))),_xlpm.fullList,_xlfn._xlws.SORT(_xlfn.UNIQUE(_xlfn._xlws.FILTER(_xlfn.VSTACK(_xlpm.wbList,_xlpm.dmList),_xlfn.VSTACK(_xlpm.wbList,_xlpm.dmList)&lt;&gt;"All"))),_xlpm.idx,ROW()-ROW(tblBudget[[#Headers],[Category]]),IFERROR(INDEX(_xlpm.fullList,_xlpm.idx),""))</f>
        <v/>
      </c>
      <c r="C33" s="108">
        <f ca="1">SUMIFS(tblBudetLog[Budget Amount],tblBudetLog[Category],tblBudget[[#This Row],[Category]],tblBudetLog[Budget Type],"Original Budget",tblBudetLog[Budget Status],"Approved")</f>
        <v>0</v>
      </c>
      <c r="D33" s="109">
        <f ca="1">SUMIFS(tblBudetLog[Budget Amount],tblBudetLog[Category],tblBudget[[#This Row],[Category]],tblBudetLog[Budget Type],"Budget Adjustment")</f>
        <v>0</v>
      </c>
      <c r="E33" s="110">
        <f ca="1">tblBudget[[#This Row],[Original Budget]]+tblBudget[[#This Row],[Approved Changes]]</f>
        <v>0</v>
      </c>
      <c r="F33" s="113">
        <f ca="1">tblBudget[[#This Row],[Revised Budget]]/$B$5</f>
        <v>0</v>
      </c>
      <c r="G33" s="109" cm="1">
        <f t="array" aca="1" ref="G33" ca="1">SUMPRODUCT((tblForecastLog[Category]=tblBudget[[#This Row],[Category]])*ISNUMBER(MATCH(tblForecastLog[Forecasted Cost Type],{"Actual Cost","Purchase Order","Subcontract","Subcontract CO #1","Subcontract CO #2","Subcontract CO #3","Subcontract CO #4","Subcontract CO #5","Subcontract CO #6","Subcontract CO #7","Subcontract CO #8","Subcontract CO #9","Subcontract CO #10"},0))*(tblForecastLog[Forecasted Cost Status]="Accepted")*tblForecastLog[Forecasted Cost Amount])</f>
        <v>0</v>
      </c>
      <c r="H33" s="109" cm="1">
        <f t="array" aca="1" ref="H33" ca="1">SUMPRODUCT((tblForecastLog[Category]=tblBudget[[#This Row],[Category]])*ISNUMBER(MATCH(tblForecastLog[Forecasted Cost Type],{"Initial Estimate","Revised Estimate"},0))*ISNUMBER(MATCH(tblForecastLog[Forecasted Cost Status],{"Accepted","Pending"},0))*tblForecastLog[Forecasted Cost Amount])</f>
        <v>0</v>
      </c>
      <c r="I33" s="114">
        <f ca="1">tblBudget[[#This Row],[Committed Cost]]+tblBudget[[#This Row],[Estimated Costs]]</f>
        <v>0</v>
      </c>
      <c r="J33" s="115">
        <f ca="1">tblBudget[[#This Row],[Forecasted Final Cost]]/$B$5</f>
        <v>0</v>
      </c>
      <c r="K33" s="116">
        <f ca="1">tblBudget[[#This Row],[Revised Budget]]-tblBudget[[#This Row],[Forecasted Final Cost]]</f>
        <v>0</v>
      </c>
      <c r="L33" s="108">
        <f t="shared" ca="1" si="0"/>
        <v>0</v>
      </c>
      <c r="M33" s="117"/>
    </row>
    <row r="34" spans="2:13" ht="21.75" customHeight="1" x14ac:dyDescent="0.6">
      <c r="B34" s="107" t="str" cm="1">
        <f t="array" aca="1" ref="B34" ca="1">_xlfn.LET(_xlpm.trig,RAND()*0,_xlpm.wbRaw,_xlfn.VSTACK(tblForecastLog[Category],tblBudetLog[Category]),_xlpm.wbList,_xlfn._xlws.SORT(_xlfn.UNIQUE(_xlfn._xlws.FILTER(_xlpm.wbRaw,_xlpm.wbRaw&lt;&gt;""))),_xlpm.cubeSet,CUBESET("ThisWorkbookDataModel","[Fact_JobDetail].[_Category].Members"),_xlpm.setCnt,CUBESETCOUNT(_xlpm.cubeSet),_xlpm.dmList,_xlfn.MAP(_xlfn.SEQUENCE(_xlpm.setCnt),_xlfn.LAMBDA(_xlpm.i,CUBERANKEDMEMBER("ThisWorkbookDataModel",_xlpm.cubeSet,_xlpm.i))),_xlpm.fullList,_xlfn._xlws.SORT(_xlfn.UNIQUE(_xlfn._xlws.FILTER(_xlfn.VSTACK(_xlpm.wbList,_xlpm.dmList),_xlfn.VSTACK(_xlpm.wbList,_xlpm.dmList)&lt;&gt;"All"))),_xlpm.idx,ROW()-ROW(tblBudget[[#Headers],[Category]]),IFERROR(INDEX(_xlpm.fullList,_xlpm.idx),""))</f>
        <v/>
      </c>
      <c r="C34" s="108">
        <f ca="1">SUMIFS(tblBudetLog[Budget Amount],tblBudetLog[Category],tblBudget[[#This Row],[Category]],tblBudetLog[Budget Type],"Original Budget",tblBudetLog[Budget Status],"Approved")</f>
        <v>0</v>
      </c>
      <c r="D34" s="109">
        <f ca="1">SUMIFS(tblBudetLog[Budget Amount],tblBudetLog[Category],tblBudget[[#This Row],[Category]],tblBudetLog[Budget Type],"Budget Adjustment")</f>
        <v>0</v>
      </c>
      <c r="E34" s="110">
        <f ca="1">tblBudget[[#This Row],[Original Budget]]+tblBudget[[#This Row],[Approved Changes]]</f>
        <v>0</v>
      </c>
      <c r="F34" s="113">
        <f ca="1">tblBudget[[#This Row],[Revised Budget]]/$B$5</f>
        <v>0</v>
      </c>
      <c r="G34" s="109" cm="1">
        <f t="array" aca="1" ref="G34" ca="1">SUMPRODUCT((tblForecastLog[Category]=tblBudget[[#This Row],[Category]])*ISNUMBER(MATCH(tblForecastLog[Forecasted Cost Type],{"Actual Cost","Purchase Order","Subcontract","Subcontract CO #1","Subcontract CO #2","Subcontract CO #3","Subcontract CO #4","Subcontract CO #5","Subcontract CO #6","Subcontract CO #7","Subcontract CO #8","Subcontract CO #9","Subcontract CO #10"},0))*(tblForecastLog[Forecasted Cost Status]="Accepted")*tblForecastLog[Forecasted Cost Amount])</f>
        <v>0</v>
      </c>
      <c r="H34" s="109" cm="1">
        <f t="array" aca="1" ref="H34" ca="1">SUMPRODUCT((tblForecastLog[Category]=tblBudget[[#This Row],[Category]])*ISNUMBER(MATCH(tblForecastLog[Forecasted Cost Type],{"Initial Estimate","Revised Estimate"},0))*ISNUMBER(MATCH(tblForecastLog[Forecasted Cost Status],{"Accepted","Pending"},0))*tblForecastLog[Forecasted Cost Amount])</f>
        <v>0</v>
      </c>
      <c r="I34" s="114">
        <f ca="1">tblBudget[[#This Row],[Committed Cost]]+tblBudget[[#This Row],[Estimated Costs]]</f>
        <v>0</v>
      </c>
      <c r="J34" s="115">
        <f ca="1">tblBudget[[#This Row],[Forecasted Final Cost]]/$B$5</f>
        <v>0</v>
      </c>
      <c r="K34" s="116">
        <f ca="1">tblBudget[[#This Row],[Revised Budget]]-tblBudget[[#This Row],[Forecasted Final Cost]]</f>
        <v>0</v>
      </c>
      <c r="L34" s="108">
        <f t="shared" ca="1" si="0"/>
        <v>0</v>
      </c>
      <c r="M34" s="117"/>
    </row>
    <row r="35" spans="2:13" ht="21.75" customHeight="1" x14ac:dyDescent="0.6">
      <c r="B35" s="107" t="str" cm="1">
        <f t="array" aca="1" ref="B35" ca="1">_xlfn.LET(_xlpm.trig,RAND()*0,_xlpm.wbRaw,_xlfn.VSTACK(tblForecastLog[Category],tblBudetLog[Category]),_xlpm.wbList,_xlfn._xlws.SORT(_xlfn.UNIQUE(_xlfn._xlws.FILTER(_xlpm.wbRaw,_xlpm.wbRaw&lt;&gt;""))),_xlpm.cubeSet,CUBESET("ThisWorkbookDataModel","[Fact_JobDetail].[_Category].Members"),_xlpm.setCnt,CUBESETCOUNT(_xlpm.cubeSet),_xlpm.dmList,_xlfn.MAP(_xlfn.SEQUENCE(_xlpm.setCnt),_xlfn.LAMBDA(_xlpm.i,CUBERANKEDMEMBER("ThisWorkbookDataModel",_xlpm.cubeSet,_xlpm.i))),_xlpm.fullList,_xlfn._xlws.SORT(_xlfn.UNIQUE(_xlfn._xlws.FILTER(_xlfn.VSTACK(_xlpm.wbList,_xlpm.dmList),_xlfn.VSTACK(_xlpm.wbList,_xlpm.dmList)&lt;&gt;"All"))),_xlpm.idx,ROW()-ROW(tblBudget[[#Headers],[Category]]),IFERROR(INDEX(_xlpm.fullList,_xlpm.idx),""))</f>
        <v/>
      </c>
      <c r="C35" s="108">
        <f ca="1">SUMIFS(tblBudetLog[Budget Amount],tblBudetLog[Category],tblBudget[[#This Row],[Category]],tblBudetLog[Budget Type],"Original Budget",tblBudetLog[Budget Status],"Approved")</f>
        <v>0</v>
      </c>
      <c r="D35" s="109">
        <f ca="1">SUMIFS(tblBudetLog[Budget Amount],tblBudetLog[Category],tblBudget[[#This Row],[Category]],tblBudetLog[Budget Type],"Budget Adjustment")</f>
        <v>0</v>
      </c>
      <c r="E35" s="110">
        <f ca="1">tblBudget[[#This Row],[Original Budget]]+tblBudget[[#This Row],[Approved Changes]]</f>
        <v>0</v>
      </c>
      <c r="F35" s="113">
        <f ca="1">tblBudget[[#This Row],[Revised Budget]]/$B$5</f>
        <v>0</v>
      </c>
      <c r="G35" s="109" cm="1">
        <f t="array" aca="1" ref="G35" ca="1">SUMPRODUCT((tblForecastLog[Category]=tblBudget[[#This Row],[Category]])*ISNUMBER(MATCH(tblForecastLog[Forecasted Cost Type],{"Actual Cost","Purchase Order","Subcontract","Subcontract CO #1","Subcontract CO #2","Subcontract CO #3","Subcontract CO #4","Subcontract CO #5","Subcontract CO #6","Subcontract CO #7","Subcontract CO #8","Subcontract CO #9","Subcontract CO #10"},0))*(tblForecastLog[Forecasted Cost Status]="Accepted")*tblForecastLog[Forecasted Cost Amount])</f>
        <v>0</v>
      </c>
      <c r="H35" s="109" cm="1">
        <f t="array" aca="1" ref="H35" ca="1">SUMPRODUCT((tblForecastLog[Category]=tblBudget[[#This Row],[Category]])*ISNUMBER(MATCH(tblForecastLog[Forecasted Cost Type],{"Initial Estimate","Revised Estimate"},0))*ISNUMBER(MATCH(tblForecastLog[Forecasted Cost Status],{"Accepted","Pending"},0))*tblForecastLog[Forecasted Cost Amount])</f>
        <v>0</v>
      </c>
      <c r="I35" s="114">
        <f ca="1">tblBudget[[#This Row],[Committed Cost]]+tblBudget[[#This Row],[Estimated Costs]]</f>
        <v>0</v>
      </c>
      <c r="J35" s="115">
        <f ca="1">tblBudget[[#This Row],[Forecasted Final Cost]]/$B$5</f>
        <v>0</v>
      </c>
      <c r="K35" s="116">
        <f ca="1">tblBudget[[#This Row],[Revised Budget]]-tblBudget[[#This Row],[Forecasted Final Cost]]</f>
        <v>0</v>
      </c>
      <c r="L35" s="108">
        <f t="shared" ca="1" si="0"/>
        <v>0</v>
      </c>
      <c r="M35" s="117"/>
    </row>
    <row r="36" spans="2:13" ht="21.75" customHeight="1" x14ac:dyDescent="0.6">
      <c r="B36" s="107" t="str" cm="1">
        <f t="array" aca="1" ref="B36" ca="1">_xlfn.LET(_xlpm.trig,RAND()*0,_xlpm.wbRaw,_xlfn.VSTACK(tblForecastLog[Category],tblBudetLog[Category]),_xlpm.wbList,_xlfn._xlws.SORT(_xlfn.UNIQUE(_xlfn._xlws.FILTER(_xlpm.wbRaw,_xlpm.wbRaw&lt;&gt;""))),_xlpm.cubeSet,CUBESET("ThisWorkbookDataModel","[Fact_JobDetail].[_Category].Members"),_xlpm.setCnt,CUBESETCOUNT(_xlpm.cubeSet),_xlpm.dmList,_xlfn.MAP(_xlfn.SEQUENCE(_xlpm.setCnt),_xlfn.LAMBDA(_xlpm.i,CUBERANKEDMEMBER("ThisWorkbookDataModel",_xlpm.cubeSet,_xlpm.i))),_xlpm.fullList,_xlfn._xlws.SORT(_xlfn.UNIQUE(_xlfn._xlws.FILTER(_xlfn.VSTACK(_xlpm.wbList,_xlpm.dmList),_xlfn.VSTACK(_xlpm.wbList,_xlpm.dmList)&lt;&gt;"All"))),_xlpm.idx,ROW()-ROW(tblBudget[[#Headers],[Category]]),IFERROR(INDEX(_xlpm.fullList,_xlpm.idx),""))</f>
        <v/>
      </c>
      <c r="C36" s="108">
        <f ca="1">SUMIFS(tblBudetLog[Budget Amount],tblBudetLog[Category],tblBudget[[#This Row],[Category]],tblBudetLog[Budget Type],"Original Budget",tblBudetLog[Budget Status],"Approved")</f>
        <v>0</v>
      </c>
      <c r="D36" s="109">
        <f ca="1">SUMIFS(tblBudetLog[Budget Amount],tblBudetLog[Category],tblBudget[[#This Row],[Category]],tblBudetLog[Budget Type],"Budget Adjustment")</f>
        <v>0</v>
      </c>
      <c r="E36" s="110">
        <f ca="1">tblBudget[[#This Row],[Original Budget]]+tblBudget[[#This Row],[Approved Changes]]</f>
        <v>0</v>
      </c>
      <c r="F36" s="113">
        <f ca="1">tblBudget[[#This Row],[Revised Budget]]/$B$5</f>
        <v>0</v>
      </c>
      <c r="G36" s="109" cm="1">
        <f t="array" aca="1" ref="G36" ca="1">SUMPRODUCT((tblForecastLog[Category]=tblBudget[[#This Row],[Category]])*ISNUMBER(MATCH(tblForecastLog[Forecasted Cost Type],{"Actual Cost","Purchase Order","Subcontract","Subcontract CO #1","Subcontract CO #2","Subcontract CO #3","Subcontract CO #4","Subcontract CO #5","Subcontract CO #6","Subcontract CO #7","Subcontract CO #8","Subcontract CO #9","Subcontract CO #10"},0))*(tblForecastLog[Forecasted Cost Status]="Accepted")*tblForecastLog[Forecasted Cost Amount])</f>
        <v>0</v>
      </c>
      <c r="H36" s="109" cm="1">
        <f t="array" aca="1" ref="H36" ca="1">SUMPRODUCT((tblForecastLog[Category]=tblBudget[[#This Row],[Category]])*ISNUMBER(MATCH(tblForecastLog[Forecasted Cost Type],{"Initial Estimate","Revised Estimate"},0))*ISNUMBER(MATCH(tblForecastLog[Forecasted Cost Status],{"Accepted","Pending"},0))*tblForecastLog[Forecasted Cost Amount])</f>
        <v>0</v>
      </c>
      <c r="I36" s="114">
        <f ca="1">tblBudget[[#This Row],[Committed Cost]]+tblBudget[[#This Row],[Estimated Costs]]</f>
        <v>0</v>
      </c>
      <c r="J36" s="115">
        <f ca="1">tblBudget[[#This Row],[Forecasted Final Cost]]/$B$5</f>
        <v>0</v>
      </c>
      <c r="K36" s="116">
        <f ca="1">tblBudget[[#This Row],[Revised Budget]]-tblBudget[[#This Row],[Forecasted Final Cost]]</f>
        <v>0</v>
      </c>
      <c r="L36" s="108">
        <f t="shared" ca="1" si="0"/>
        <v>0</v>
      </c>
      <c r="M36" s="117"/>
    </row>
    <row r="37" spans="2:13" ht="21.75" customHeight="1" x14ac:dyDescent="0.6">
      <c r="B37" s="107" t="str" cm="1">
        <f t="array" aca="1" ref="B37" ca="1">_xlfn.LET(_xlpm.trig,RAND()*0,_xlpm.wbRaw,_xlfn.VSTACK(tblForecastLog[Category],tblBudetLog[Category]),_xlpm.wbList,_xlfn._xlws.SORT(_xlfn.UNIQUE(_xlfn._xlws.FILTER(_xlpm.wbRaw,_xlpm.wbRaw&lt;&gt;""))),_xlpm.cubeSet,CUBESET("ThisWorkbookDataModel","[Fact_JobDetail].[_Category].Members"),_xlpm.setCnt,CUBESETCOUNT(_xlpm.cubeSet),_xlpm.dmList,_xlfn.MAP(_xlfn.SEQUENCE(_xlpm.setCnt),_xlfn.LAMBDA(_xlpm.i,CUBERANKEDMEMBER("ThisWorkbookDataModel",_xlpm.cubeSet,_xlpm.i))),_xlpm.fullList,_xlfn._xlws.SORT(_xlfn.UNIQUE(_xlfn._xlws.FILTER(_xlfn.VSTACK(_xlpm.wbList,_xlpm.dmList),_xlfn.VSTACK(_xlpm.wbList,_xlpm.dmList)&lt;&gt;"All"))),_xlpm.idx,ROW()-ROW(tblBudget[[#Headers],[Category]]),IFERROR(INDEX(_xlpm.fullList,_xlpm.idx),""))</f>
        <v/>
      </c>
      <c r="C37" s="108">
        <f ca="1">SUMIFS(tblBudetLog[Budget Amount],tblBudetLog[Category],tblBudget[[#This Row],[Category]],tblBudetLog[Budget Type],"Original Budget",tblBudetLog[Budget Status],"Approved")</f>
        <v>0</v>
      </c>
      <c r="D37" s="109">
        <f ca="1">SUMIFS(tblBudetLog[Budget Amount],tblBudetLog[Category],tblBudget[[#This Row],[Category]],tblBudetLog[Budget Type],"Budget Adjustment")</f>
        <v>0</v>
      </c>
      <c r="E37" s="110">
        <f ca="1">tblBudget[[#This Row],[Original Budget]]+tblBudget[[#This Row],[Approved Changes]]</f>
        <v>0</v>
      </c>
      <c r="F37" s="113">
        <f ca="1">tblBudget[[#This Row],[Revised Budget]]/$B$5</f>
        <v>0</v>
      </c>
      <c r="G37" s="109" cm="1">
        <f t="array" aca="1" ref="G37" ca="1">SUMPRODUCT((tblForecastLog[Category]=tblBudget[[#This Row],[Category]])*ISNUMBER(MATCH(tblForecastLog[Forecasted Cost Type],{"Actual Cost","Purchase Order","Subcontract","Subcontract CO #1","Subcontract CO #2","Subcontract CO #3","Subcontract CO #4","Subcontract CO #5","Subcontract CO #6","Subcontract CO #7","Subcontract CO #8","Subcontract CO #9","Subcontract CO #10"},0))*(tblForecastLog[Forecasted Cost Status]="Accepted")*tblForecastLog[Forecasted Cost Amount])</f>
        <v>0</v>
      </c>
      <c r="H37" s="109" cm="1">
        <f t="array" aca="1" ref="H37" ca="1">SUMPRODUCT((tblForecastLog[Category]=tblBudget[[#This Row],[Category]])*ISNUMBER(MATCH(tblForecastLog[Forecasted Cost Type],{"Initial Estimate","Revised Estimate"},0))*ISNUMBER(MATCH(tblForecastLog[Forecasted Cost Status],{"Accepted","Pending"},0))*tblForecastLog[Forecasted Cost Amount])</f>
        <v>0</v>
      </c>
      <c r="I37" s="114">
        <f ca="1">tblBudget[[#This Row],[Committed Cost]]+tblBudget[[#This Row],[Estimated Costs]]</f>
        <v>0</v>
      </c>
      <c r="J37" s="115">
        <f ca="1">tblBudget[[#This Row],[Forecasted Final Cost]]/$B$5</f>
        <v>0</v>
      </c>
      <c r="K37" s="116">
        <f ca="1">tblBudget[[#This Row],[Revised Budget]]-tblBudget[[#This Row],[Forecasted Final Cost]]</f>
        <v>0</v>
      </c>
      <c r="L37" s="108">
        <f t="shared" ca="1" si="0"/>
        <v>0</v>
      </c>
      <c r="M37" s="117"/>
    </row>
    <row r="38" spans="2:13" ht="21.75" customHeight="1" x14ac:dyDescent="0.6">
      <c r="B38" s="107" t="str" cm="1">
        <f t="array" aca="1" ref="B38" ca="1">_xlfn.LET(_xlpm.trig,RAND()*0,_xlpm.wbRaw,_xlfn.VSTACK(tblForecastLog[Category],tblBudetLog[Category]),_xlpm.wbList,_xlfn._xlws.SORT(_xlfn.UNIQUE(_xlfn._xlws.FILTER(_xlpm.wbRaw,_xlpm.wbRaw&lt;&gt;""))),_xlpm.cubeSet,CUBESET("ThisWorkbookDataModel","[Fact_JobDetail].[_Category].Members"),_xlpm.setCnt,CUBESETCOUNT(_xlpm.cubeSet),_xlpm.dmList,_xlfn.MAP(_xlfn.SEQUENCE(_xlpm.setCnt),_xlfn.LAMBDA(_xlpm.i,CUBERANKEDMEMBER("ThisWorkbookDataModel",_xlpm.cubeSet,_xlpm.i))),_xlpm.fullList,_xlfn._xlws.SORT(_xlfn.UNIQUE(_xlfn._xlws.FILTER(_xlfn.VSTACK(_xlpm.wbList,_xlpm.dmList),_xlfn.VSTACK(_xlpm.wbList,_xlpm.dmList)&lt;&gt;"All"))),_xlpm.idx,ROW()-ROW(tblBudget[[#Headers],[Category]]),IFERROR(INDEX(_xlpm.fullList,_xlpm.idx),""))</f>
        <v/>
      </c>
      <c r="C38" s="108">
        <f ca="1">SUMIFS(tblBudetLog[Budget Amount],tblBudetLog[Category],tblBudget[[#This Row],[Category]],tblBudetLog[Budget Type],"Original Budget",tblBudetLog[Budget Status],"Approved")</f>
        <v>0</v>
      </c>
      <c r="D38" s="109">
        <f ca="1">SUMIFS(tblBudetLog[Budget Amount],tblBudetLog[Category],tblBudget[[#This Row],[Category]],tblBudetLog[Budget Type],"Budget Adjustment")</f>
        <v>0</v>
      </c>
      <c r="E38" s="110">
        <f ca="1">tblBudget[[#This Row],[Original Budget]]+tblBudget[[#This Row],[Approved Changes]]</f>
        <v>0</v>
      </c>
      <c r="F38" s="113">
        <f ca="1">tblBudget[[#This Row],[Revised Budget]]/$B$5</f>
        <v>0</v>
      </c>
      <c r="G38" s="109" cm="1">
        <f t="array" aca="1" ref="G38" ca="1">SUMPRODUCT((tblForecastLog[Category]=tblBudget[[#This Row],[Category]])*ISNUMBER(MATCH(tblForecastLog[Forecasted Cost Type],{"Actual Cost","Purchase Order","Subcontract","Subcontract CO #1","Subcontract CO #2","Subcontract CO #3","Subcontract CO #4","Subcontract CO #5","Subcontract CO #6","Subcontract CO #7","Subcontract CO #8","Subcontract CO #9","Subcontract CO #10"},0))*(tblForecastLog[Forecasted Cost Status]="Accepted")*tblForecastLog[Forecasted Cost Amount])</f>
        <v>0</v>
      </c>
      <c r="H38" s="109" cm="1">
        <f t="array" aca="1" ref="H38" ca="1">SUMPRODUCT((tblForecastLog[Category]=tblBudget[[#This Row],[Category]])*ISNUMBER(MATCH(tblForecastLog[Forecasted Cost Type],{"Initial Estimate","Revised Estimate"},0))*ISNUMBER(MATCH(tblForecastLog[Forecasted Cost Status],{"Accepted","Pending"},0))*tblForecastLog[Forecasted Cost Amount])</f>
        <v>0</v>
      </c>
      <c r="I38" s="114">
        <f ca="1">tblBudget[[#This Row],[Committed Cost]]+tblBudget[[#This Row],[Estimated Costs]]</f>
        <v>0</v>
      </c>
      <c r="J38" s="115">
        <f ca="1">tblBudget[[#This Row],[Forecasted Final Cost]]/$B$5</f>
        <v>0</v>
      </c>
      <c r="K38" s="116">
        <f ca="1">tblBudget[[#This Row],[Revised Budget]]-tblBudget[[#This Row],[Forecasted Final Cost]]</f>
        <v>0</v>
      </c>
      <c r="L38" s="108">
        <f t="shared" ca="1" si="0"/>
        <v>0</v>
      </c>
      <c r="M38" s="117"/>
    </row>
    <row r="39" spans="2:13" ht="21.75" customHeight="1" x14ac:dyDescent="0.6">
      <c r="B39" s="107" t="str" cm="1">
        <f t="array" aca="1" ref="B39" ca="1">_xlfn.LET(_xlpm.trig,RAND()*0,_xlpm.wbRaw,_xlfn.VSTACK(tblForecastLog[Category],tblBudetLog[Category]),_xlpm.wbList,_xlfn._xlws.SORT(_xlfn.UNIQUE(_xlfn._xlws.FILTER(_xlpm.wbRaw,_xlpm.wbRaw&lt;&gt;""))),_xlpm.cubeSet,CUBESET("ThisWorkbookDataModel","[Fact_JobDetail].[_Category].Members"),_xlpm.setCnt,CUBESETCOUNT(_xlpm.cubeSet),_xlpm.dmList,_xlfn.MAP(_xlfn.SEQUENCE(_xlpm.setCnt),_xlfn.LAMBDA(_xlpm.i,CUBERANKEDMEMBER("ThisWorkbookDataModel",_xlpm.cubeSet,_xlpm.i))),_xlpm.fullList,_xlfn._xlws.SORT(_xlfn.UNIQUE(_xlfn._xlws.FILTER(_xlfn.VSTACK(_xlpm.wbList,_xlpm.dmList),_xlfn.VSTACK(_xlpm.wbList,_xlpm.dmList)&lt;&gt;"All"))),_xlpm.idx,ROW()-ROW(tblBudget[[#Headers],[Category]]),IFERROR(INDEX(_xlpm.fullList,_xlpm.idx),""))</f>
        <v/>
      </c>
      <c r="C39" s="108">
        <f ca="1">SUMIFS(tblBudetLog[Budget Amount],tblBudetLog[Category],tblBudget[[#This Row],[Category]],tblBudetLog[Budget Type],"Original Budget",tblBudetLog[Budget Status],"Approved")</f>
        <v>0</v>
      </c>
      <c r="D39" s="109">
        <f ca="1">SUMIFS(tblBudetLog[Budget Amount],tblBudetLog[Category],tblBudget[[#This Row],[Category]],tblBudetLog[Budget Type],"Budget Adjustment")</f>
        <v>0</v>
      </c>
      <c r="E39" s="110">
        <f ca="1">tblBudget[[#This Row],[Original Budget]]+tblBudget[[#This Row],[Approved Changes]]</f>
        <v>0</v>
      </c>
      <c r="F39" s="113">
        <f ca="1">tblBudget[[#This Row],[Revised Budget]]/$B$5</f>
        <v>0</v>
      </c>
      <c r="G39" s="109" cm="1">
        <f t="array" aca="1" ref="G39" ca="1">SUMPRODUCT((tblForecastLog[Category]=tblBudget[[#This Row],[Category]])*ISNUMBER(MATCH(tblForecastLog[Forecasted Cost Type],{"Actual Cost","Purchase Order","Subcontract","Subcontract CO #1","Subcontract CO #2","Subcontract CO #3","Subcontract CO #4","Subcontract CO #5","Subcontract CO #6","Subcontract CO #7","Subcontract CO #8","Subcontract CO #9","Subcontract CO #10"},0))*(tblForecastLog[Forecasted Cost Status]="Accepted")*tblForecastLog[Forecasted Cost Amount])</f>
        <v>0</v>
      </c>
      <c r="H39" s="109" cm="1">
        <f t="array" aca="1" ref="H39" ca="1">SUMPRODUCT((tblForecastLog[Category]=tblBudget[[#This Row],[Category]])*ISNUMBER(MATCH(tblForecastLog[Forecasted Cost Type],{"Initial Estimate","Revised Estimate"},0))*ISNUMBER(MATCH(tblForecastLog[Forecasted Cost Status],{"Accepted","Pending"},0))*tblForecastLog[Forecasted Cost Amount])</f>
        <v>0</v>
      </c>
      <c r="I39" s="114">
        <f ca="1">tblBudget[[#This Row],[Committed Cost]]+tblBudget[[#This Row],[Estimated Costs]]</f>
        <v>0</v>
      </c>
      <c r="J39" s="115">
        <f ca="1">tblBudget[[#This Row],[Forecasted Final Cost]]/$B$5</f>
        <v>0</v>
      </c>
      <c r="K39" s="116">
        <f ca="1">tblBudget[[#This Row],[Revised Budget]]-tblBudget[[#This Row],[Forecasted Final Cost]]</f>
        <v>0</v>
      </c>
      <c r="L39" s="108">
        <f t="shared" ca="1" si="0"/>
        <v>0</v>
      </c>
      <c r="M39" s="117"/>
    </row>
    <row r="40" spans="2:13" ht="21.75" customHeight="1" x14ac:dyDescent="0.6">
      <c r="B40" s="107" t="str" cm="1">
        <f t="array" aca="1" ref="B40" ca="1">_xlfn.LET(_xlpm.trig,RAND()*0,_xlpm.wbRaw,_xlfn.VSTACK(tblForecastLog[Category],tblBudetLog[Category]),_xlpm.wbList,_xlfn._xlws.SORT(_xlfn.UNIQUE(_xlfn._xlws.FILTER(_xlpm.wbRaw,_xlpm.wbRaw&lt;&gt;""))),_xlpm.cubeSet,CUBESET("ThisWorkbookDataModel","[Fact_JobDetail].[_Category].Members"),_xlpm.setCnt,CUBESETCOUNT(_xlpm.cubeSet),_xlpm.dmList,_xlfn.MAP(_xlfn.SEQUENCE(_xlpm.setCnt),_xlfn.LAMBDA(_xlpm.i,CUBERANKEDMEMBER("ThisWorkbookDataModel",_xlpm.cubeSet,_xlpm.i))),_xlpm.fullList,_xlfn._xlws.SORT(_xlfn.UNIQUE(_xlfn._xlws.FILTER(_xlfn.VSTACK(_xlpm.wbList,_xlpm.dmList),_xlfn.VSTACK(_xlpm.wbList,_xlpm.dmList)&lt;&gt;"All"))),_xlpm.idx,ROW()-ROW(tblBudget[[#Headers],[Category]]),IFERROR(INDEX(_xlpm.fullList,_xlpm.idx),""))</f>
        <v/>
      </c>
      <c r="C40" s="108">
        <f ca="1">SUMIFS(tblBudetLog[Budget Amount],tblBudetLog[Category],tblBudget[[#This Row],[Category]],tblBudetLog[Budget Type],"Original Budget",tblBudetLog[Budget Status],"Approved")</f>
        <v>0</v>
      </c>
      <c r="D40" s="109">
        <f ca="1">SUMIFS(tblBudetLog[Budget Amount],tblBudetLog[Category],tblBudget[[#This Row],[Category]],tblBudetLog[Budget Type],"Budget Adjustment")</f>
        <v>0</v>
      </c>
      <c r="E40" s="110">
        <f ca="1">tblBudget[[#This Row],[Original Budget]]+tblBudget[[#This Row],[Approved Changes]]</f>
        <v>0</v>
      </c>
      <c r="F40" s="113">
        <f ca="1">tblBudget[[#This Row],[Revised Budget]]/$B$5</f>
        <v>0</v>
      </c>
      <c r="G40" s="109" cm="1">
        <f t="array" aca="1" ref="G40" ca="1">SUMPRODUCT((tblForecastLog[Category]=tblBudget[[#This Row],[Category]])*ISNUMBER(MATCH(tblForecastLog[Forecasted Cost Type],{"Actual Cost","Purchase Order","Subcontract","Subcontract CO #1","Subcontract CO #2","Subcontract CO #3","Subcontract CO #4","Subcontract CO #5","Subcontract CO #6","Subcontract CO #7","Subcontract CO #8","Subcontract CO #9","Subcontract CO #10"},0))*(tblForecastLog[Forecasted Cost Status]="Accepted")*tblForecastLog[Forecasted Cost Amount])</f>
        <v>0</v>
      </c>
      <c r="H40" s="109" cm="1">
        <f t="array" aca="1" ref="H40" ca="1">SUMPRODUCT((tblForecastLog[Category]=tblBudget[[#This Row],[Category]])*ISNUMBER(MATCH(tblForecastLog[Forecasted Cost Type],{"Initial Estimate","Revised Estimate"},0))*ISNUMBER(MATCH(tblForecastLog[Forecasted Cost Status],{"Accepted","Pending"},0))*tblForecastLog[Forecasted Cost Amount])</f>
        <v>0</v>
      </c>
      <c r="I40" s="114">
        <f ca="1">tblBudget[[#This Row],[Committed Cost]]+tblBudget[[#This Row],[Estimated Costs]]</f>
        <v>0</v>
      </c>
      <c r="J40" s="115">
        <f ca="1">tblBudget[[#This Row],[Forecasted Final Cost]]/$B$5</f>
        <v>0</v>
      </c>
      <c r="K40" s="116">
        <f ca="1">tblBudget[[#This Row],[Revised Budget]]-tblBudget[[#This Row],[Forecasted Final Cost]]</f>
        <v>0</v>
      </c>
      <c r="L40" s="108">
        <f t="shared" ref="L40:L63" ca="1" si="1">_xlfn.IFNA(CUBEVALUE("ThisWorkbookDataModel","[Measures].[Amount by _Category]",CUBEMEMBER("ThisWorkbookDataModel","[Fact_JobDetail].[_Category].&amp;["&amp;TRIM($B40)&amp;"]")),0)</f>
        <v>0</v>
      </c>
      <c r="M40" s="117"/>
    </row>
    <row r="41" spans="2:13" ht="21.75" customHeight="1" x14ac:dyDescent="0.6">
      <c r="B41" s="107" t="str" cm="1">
        <f t="array" aca="1" ref="B41" ca="1">_xlfn.LET(_xlpm.trig,RAND()*0,_xlpm.wbRaw,_xlfn.VSTACK(tblForecastLog[Category],tblBudetLog[Category]),_xlpm.wbList,_xlfn._xlws.SORT(_xlfn.UNIQUE(_xlfn._xlws.FILTER(_xlpm.wbRaw,_xlpm.wbRaw&lt;&gt;""))),_xlpm.cubeSet,CUBESET("ThisWorkbookDataModel","[Fact_JobDetail].[_Category].Members"),_xlpm.setCnt,CUBESETCOUNT(_xlpm.cubeSet),_xlpm.dmList,_xlfn.MAP(_xlfn.SEQUENCE(_xlpm.setCnt),_xlfn.LAMBDA(_xlpm.i,CUBERANKEDMEMBER("ThisWorkbookDataModel",_xlpm.cubeSet,_xlpm.i))),_xlpm.fullList,_xlfn._xlws.SORT(_xlfn.UNIQUE(_xlfn._xlws.FILTER(_xlfn.VSTACK(_xlpm.wbList,_xlpm.dmList),_xlfn.VSTACK(_xlpm.wbList,_xlpm.dmList)&lt;&gt;"All"))),_xlpm.idx,ROW()-ROW(tblBudget[[#Headers],[Category]]),IFERROR(INDEX(_xlpm.fullList,_xlpm.idx),""))</f>
        <v/>
      </c>
      <c r="C41" s="108">
        <f ca="1">SUMIFS(tblBudetLog[Budget Amount],tblBudetLog[Category],tblBudget[[#This Row],[Category]],tblBudetLog[Budget Type],"Original Budget",tblBudetLog[Budget Status],"Approved")</f>
        <v>0</v>
      </c>
      <c r="D41" s="109">
        <f ca="1">SUMIFS(tblBudetLog[Budget Amount],tblBudetLog[Category],tblBudget[[#This Row],[Category]],tblBudetLog[Budget Type],"Budget Adjustment")</f>
        <v>0</v>
      </c>
      <c r="E41" s="110">
        <f ca="1">tblBudget[[#This Row],[Original Budget]]+tblBudget[[#This Row],[Approved Changes]]</f>
        <v>0</v>
      </c>
      <c r="F41" s="113">
        <f ca="1">tblBudget[[#This Row],[Revised Budget]]/$B$5</f>
        <v>0</v>
      </c>
      <c r="G41" s="109" cm="1">
        <f t="array" aca="1" ref="G41" ca="1">SUMPRODUCT((tblForecastLog[Category]=tblBudget[[#This Row],[Category]])*ISNUMBER(MATCH(tblForecastLog[Forecasted Cost Type],{"Actual Cost","Purchase Order","Subcontract","Subcontract CO #1","Subcontract CO #2","Subcontract CO #3","Subcontract CO #4","Subcontract CO #5","Subcontract CO #6","Subcontract CO #7","Subcontract CO #8","Subcontract CO #9","Subcontract CO #10"},0))*(tblForecastLog[Forecasted Cost Status]="Accepted")*tblForecastLog[Forecasted Cost Amount])</f>
        <v>0</v>
      </c>
      <c r="H41" s="109" cm="1">
        <f t="array" aca="1" ref="H41" ca="1">SUMPRODUCT((tblForecastLog[Category]=tblBudget[[#This Row],[Category]])*ISNUMBER(MATCH(tblForecastLog[Forecasted Cost Type],{"Initial Estimate","Revised Estimate"},0))*ISNUMBER(MATCH(tblForecastLog[Forecasted Cost Status],{"Accepted","Pending"},0))*tblForecastLog[Forecasted Cost Amount])</f>
        <v>0</v>
      </c>
      <c r="I41" s="114">
        <f ca="1">tblBudget[[#This Row],[Committed Cost]]+tblBudget[[#This Row],[Estimated Costs]]</f>
        <v>0</v>
      </c>
      <c r="J41" s="115">
        <f ca="1">tblBudget[[#This Row],[Forecasted Final Cost]]/$B$5</f>
        <v>0</v>
      </c>
      <c r="K41" s="116">
        <f ca="1">tblBudget[[#This Row],[Revised Budget]]-tblBudget[[#This Row],[Forecasted Final Cost]]</f>
        <v>0</v>
      </c>
      <c r="L41" s="108">
        <f t="shared" ca="1" si="1"/>
        <v>0</v>
      </c>
      <c r="M41" s="117"/>
    </row>
    <row r="42" spans="2:13" ht="21.75" customHeight="1" x14ac:dyDescent="0.6">
      <c r="B42" s="107" t="str" cm="1">
        <f t="array" aca="1" ref="B42" ca="1">_xlfn.LET(_xlpm.trig,RAND()*0,_xlpm.wbRaw,_xlfn.VSTACK(tblForecastLog[Category],tblBudetLog[Category]),_xlpm.wbList,_xlfn._xlws.SORT(_xlfn.UNIQUE(_xlfn._xlws.FILTER(_xlpm.wbRaw,_xlpm.wbRaw&lt;&gt;""))),_xlpm.cubeSet,CUBESET("ThisWorkbookDataModel","[Fact_JobDetail].[_Category].Members"),_xlpm.setCnt,CUBESETCOUNT(_xlpm.cubeSet),_xlpm.dmList,_xlfn.MAP(_xlfn.SEQUENCE(_xlpm.setCnt),_xlfn.LAMBDA(_xlpm.i,CUBERANKEDMEMBER("ThisWorkbookDataModel",_xlpm.cubeSet,_xlpm.i))),_xlpm.fullList,_xlfn._xlws.SORT(_xlfn.UNIQUE(_xlfn._xlws.FILTER(_xlfn.VSTACK(_xlpm.wbList,_xlpm.dmList),_xlfn.VSTACK(_xlpm.wbList,_xlpm.dmList)&lt;&gt;"All"))),_xlpm.idx,ROW()-ROW(tblBudget[[#Headers],[Category]]),IFERROR(INDEX(_xlpm.fullList,_xlpm.idx),""))</f>
        <v/>
      </c>
      <c r="C42" s="108">
        <f ca="1">SUMIFS(tblBudetLog[Budget Amount],tblBudetLog[Category],tblBudget[[#This Row],[Category]],tblBudetLog[Budget Type],"Original Budget",tblBudetLog[Budget Status],"Approved")</f>
        <v>0</v>
      </c>
      <c r="D42" s="109">
        <f ca="1">SUMIFS(tblBudetLog[Budget Amount],tblBudetLog[Category],tblBudget[[#This Row],[Category]],tblBudetLog[Budget Type],"Budget Adjustment")</f>
        <v>0</v>
      </c>
      <c r="E42" s="110">
        <f ca="1">tblBudget[[#This Row],[Original Budget]]+tblBudget[[#This Row],[Approved Changes]]</f>
        <v>0</v>
      </c>
      <c r="F42" s="113">
        <f ca="1">tblBudget[[#This Row],[Revised Budget]]/$B$5</f>
        <v>0</v>
      </c>
      <c r="G42" s="109" cm="1">
        <f t="array" aca="1" ref="G42" ca="1">SUMPRODUCT((tblForecastLog[Category]=tblBudget[[#This Row],[Category]])*ISNUMBER(MATCH(tblForecastLog[Forecasted Cost Type],{"Actual Cost","Purchase Order","Subcontract","Subcontract CO #1","Subcontract CO #2","Subcontract CO #3","Subcontract CO #4","Subcontract CO #5","Subcontract CO #6","Subcontract CO #7","Subcontract CO #8","Subcontract CO #9","Subcontract CO #10"},0))*(tblForecastLog[Forecasted Cost Status]="Accepted")*tblForecastLog[Forecasted Cost Amount])</f>
        <v>0</v>
      </c>
      <c r="H42" s="109" cm="1">
        <f t="array" aca="1" ref="H42" ca="1">SUMPRODUCT((tblForecastLog[Category]=tblBudget[[#This Row],[Category]])*ISNUMBER(MATCH(tblForecastLog[Forecasted Cost Type],{"Initial Estimate","Revised Estimate"},0))*ISNUMBER(MATCH(tblForecastLog[Forecasted Cost Status],{"Accepted","Pending"},0))*tblForecastLog[Forecasted Cost Amount])</f>
        <v>0</v>
      </c>
      <c r="I42" s="114">
        <f ca="1">tblBudget[[#This Row],[Committed Cost]]+tblBudget[[#This Row],[Estimated Costs]]</f>
        <v>0</v>
      </c>
      <c r="J42" s="115">
        <f ca="1">tblBudget[[#This Row],[Forecasted Final Cost]]/$B$5</f>
        <v>0</v>
      </c>
      <c r="K42" s="116">
        <f ca="1">tblBudget[[#This Row],[Revised Budget]]-tblBudget[[#This Row],[Forecasted Final Cost]]</f>
        <v>0</v>
      </c>
      <c r="L42" s="108">
        <f t="shared" ca="1" si="1"/>
        <v>0</v>
      </c>
      <c r="M42" s="117"/>
    </row>
    <row r="43" spans="2:13" ht="21.75" customHeight="1" x14ac:dyDescent="0.6">
      <c r="B43" s="107" t="str" cm="1">
        <f t="array" aca="1" ref="B43" ca="1">_xlfn.LET(_xlpm.trig,RAND()*0,_xlpm.wbRaw,_xlfn.VSTACK(tblForecastLog[Category],tblBudetLog[Category]),_xlpm.wbList,_xlfn._xlws.SORT(_xlfn.UNIQUE(_xlfn._xlws.FILTER(_xlpm.wbRaw,_xlpm.wbRaw&lt;&gt;""))),_xlpm.cubeSet,CUBESET("ThisWorkbookDataModel","[Fact_JobDetail].[_Category].Members"),_xlpm.setCnt,CUBESETCOUNT(_xlpm.cubeSet),_xlpm.dmList,_xlfn.MAP(_xlfn.SEQUENCE(_xlpm.setCnt),_xlfn.LAMBDA(_xlpm.i,CUBERANKEDMEMBER("ThisWorkbookDataModel",_xlpm.cubeSet,_xlpm.i))),_xlpm.fullList,_xlfn._xlws.SORT(_xlfn.UNIQUE(_xlfn._xlws.FILTER(_xlfn.VSTACK(_xlpm.wbList,_xlpm.dmList),_xlfn.VSTACK(_xlpm.wbList,_xlpm.dmList)&lt;&gt;"All"))),_xlpm.idx,ROW()-ROW(tblBudget[[#Headers],[Category]]),IFERROR(INDEX(_xlpm.fullList,_xlpm.idx),""))</f>
        <v/>
      </c>
      <c r="C43" s="108">
        <f ca="1">SUMIFS(tblBudetLog[Budget Amount],tblBudetLog[Category],tblBudget[[#This Row],[Category]],tblBudetLog[Budget Type],"Original Budget",tblBudetLog[Budget Status],"Approved")</f>
        <v>0</v>
      </c>
      <c r="D43" s="109">
        <f ca="1">SUMIFS(tblBudetLog[Budget Amount],tblBudetLog[Category],tblBudget[[#This Row],[Category]],tblBudetLog[Budget Type],"Budget Adjustment")</f>
        <v>0</v>
      </c>
      <c r="E43" s="110">
        <f ca="1">tblBudget[[#This Row],[Original Budget]]+tblBudget[[#This Row],[Approved Changes]]</f>
        <v>0</v>
      </c>
      <c r="F43" s="113">
        <f ca="1">tblBudget[[#This Row],[Revised Budget]]/$B$5</f>
        <v>0</v>
      </c>
      <c r="G43" s="109" cm="1">
        <f t="array" aca="1" ref="G43" ca="1">SUMPRODUCT((tblForecastLog[Category]=tblBudget[[#This Row],[Category]])*ISNUMBER(MATCH(tblForecastLog[Forecasted Cost Type],{"Actual Cost","Purchase Order","Subcontract","Subcontract CO #1","Subcontract CO #2","Subcontract CO #3","Subcontract CO #4","Subcontract CO #5","Subcontract CO #6","Subcontract CO #7","Subcontract CO #8","Subcontract CO #9","Subcontract CO #10"},0))*(tblForecastLog[Forecasted Cost Status]="Accepted")*tblForecastLog[Forecasted Cost Amount])</f>
        <v>0</v>
      </c>
      <c r="H43" s="109" cm="1">
        <f t="array" aca="1" ref="H43" ca="1">SUMPRODUCT((tblForecastLog[Category]=tblBudget[[#This Row],[Category]])*ISNUMBER(MATCH(tblForecastLog[Forecasted Cost Type],{"Initial Estimate","Revised Estimate"},0))*ISNUMBER(MATCH(tblForecastLog[Forecasted Cost Status],{"Accepted","Pending"},0))*tblForecastLog[Forecasted Cost Amount])</f>
        <v>0</v>
      </c>
      <c r="I43" s="114">
        <f ca="1">tblBudget[[#This Row],[Committed Cost]]+tblBudget[[#This Row],[Estimated Costs]]</f>
        <v>0</v>
      </c>
      <c r="J43" s="115">
        <f ca="1">tblBudget[[#This Row],[Forecasted Final Cost]]/$B$5</f>
        <v>0</v>
      </c>
      <c r="K43" s="116">
        <f ca="1">tblBudget[[#This Row],[Revised Budget]]-tblBudget[[#This Row],[Forecasted Final Cost]]</f>
        <v>0</v>
      </c>
      <c r="L43" s="108">
        <f t="shared" ca="1" si="1"/>
        <v>0</v>
      </c>
      <c r="M43" s="117"/>
    </row>
    <row r="44" spans="2:13" ht="21.75" customHeight="1" x14ac:dyDescent="0.6">
      <c r="B44" s="107" t="str" cm="1">
        <f t="array" aca="1" ref="B44" ca="1">_xlfn.LET(_xlpm.trig,RAND()*0,_xlpm.wbRaw,_xlfn.VSTACK(tblForecastLog[Category],tblBudetLog[Category]),_xlpm.wbList,_xlfn._xlws.SORT(_xlfn.UNIQUE(_xlfn._xlws.FILTER(_xlpm.wbRaw,_xlpm.wbRaw&lt;&gt;""))),_xlpm.cubeSet,CUBESET("ThisWorkbookDataModel","[Fact_JobDetail].[_Category].Members"),_xlpm.setCnt,CUBESETCOUNT(_xlpm.cubeSet),_xlpm.dmList,_xlfn.MAP(_xlfn.SEQUENCE(_xlpm.setCnt),_xlfn.LAMBDA(_xlpm.i,CUBERANKEDMEMBER("ThisWorkbookDataModel",_xlpm.cubeSet,_xlpm.i))),_xlpm.fullList,_xlfn._xlws.SORT(_xlfn.UNIQUE(_xlfn._xlws.FILTER(_xlfn.VSTACK(_xlpm.wbList,_xlpm.dmList),_xlfn.VSTACK(_xlpm.wbList,_xlpm.dmList)&lt;&gt;"All"))),_xlpm.idx,ROW()-ROW(tblBudget[[#Headers],[Category]]),IFERROR(INDEX(_xlpm.fullList,_xlpm.idx),""))</f>
        <v/>
      </c>
      <c r="C44" s="108">
        <f ca="1">SUMIFS(tblBudetLog[Budget Amount],tblBudetLog[Category],tblBudget[[#This Row],[Category]],tblBudetLog[Budget Type],"Original Budget",tblBudetLog[Budget Status],"Approved")</f>
        <v>0</v>
      </c>
      <c r="D44" s="109">
        <f ca="1">SUMIFS(tblBudetLog[Budget Amount],tblBudetLog[Category],tblBudget[[#This Row],[Category]],tblBudetLog[Budget Type],"Budget Adjustment")</f>
        <v>0</v>
      </c>
      <c r="E44" s="110">
        <f ca="1">tblBudget[[#This Row],[Original Budget]]+tblBudget[[#This Row],[Approved Changes]]</f>
        <v>0</v>
      </c>
      <c r="F44" s="113">
        <f ca="1">tblBudget[[#This Row],[Revised Budget]]/$B$5</f>
        <v>0</v>
      </c>
      <c r="G44" s="109" cm="1">
        <f t="array" aca="1" ref="G44" ca="1">SUMPRODUCT((tblForecastLog[Category]=tblBudget[[#This Row],[Category]])*ISNUMBER(MATCH(tblForecastLog[Forecasted Cost Type],{"Actual Cost","Purchase Order","Subcontract","Subcontract CO #1","Subcontract CO #2","Subcontract CO #3","Subcontract CO #4","Subcontract CO #5","Subcontract CO #6","Subcontract CO #7","Subcontract CO #8","Subcontract CO #9","Subcontract CO #10"},0))*(tblForecastLog[Forecasted Cost Status]="Accepted")*tblForecastLog[Forecasted Cost Amount])</f>
        <v>0</v>
      </c>
      <c r="H44" s="109" cm="1">
        <f t="array" aca="1" ref="H44" ca="1">SUMPRODUCT((tblForecastLog[Category]=tblBudget[[#This Row],[Category]])*ISNUMBER(MATCH(tblForecastLog[Forecasted Cost Type],{"Initial Estimate","Revised Estimate"},0))*ISNUMBER(MATCH(tblForecastLog[Forecasted Cost Status],{"Accepted","Pending"},0))*tblForecastLog[Forecasted Cost Amount])</f>
        <v>0</v>
      </c>
      <c r="I44" s="114">
        <f ca="1">tblBudget[[#This Row],[Committed Cost]]+tblBudget[[#This Row],[Estimated Costs]]</f>
        <v>0</v>
      </c>
      <c r="J44" s="115">
        <f ca="1">tblBudget[[#This Row],[Forecasted Final Cost]]/$B$5</f>
        <v>0</v>
      </c>
      <c r="K44" s="116">
        <f ca="1">tblBudget[[#This Row],[Revised Budget]]-tblBudget[[#This Row],[Forecasted Final Cost]]</f>
        <v>0</v>
      </c>
      <c r="L44" s="108">
        <f t="shared" ca="1" si="1"/>
        <v>0</v>
      </c>
      <c r="M44" s="117"/>
    </row>
    <row r="45" spans="2:13" ht="21.75" customHeight="1" x14ac:dyDescent="0.6">
      <c r="B45" s="107" t="str" cm="1">
        <f t="array" aca="1" ref="B45" ca="1">_xlfn.LET(_xlpm.trig,RAND()*0,_xlpm.wbRaw,_xlfn.VSTACK(tblForecastLog[Category],tblBudetLog[Category]),_xlpm.wbList,_xlfn._xlws.SORT(_xlfn.UNIQUE(_xlfn._xlws.FILTER(_xlpm.wbRaw,_xlpm.wbRaw&lt;&gt;""))),_xlpm.cubeSet,CUBESET("ThisWorkbookDataModel","[Fact_JobDetail].[_Category].Members"),_xlpm.setCnt,CUBESETCOUNT(_xlpm.cubeSet),_xlpm.dmList,_xlfn.MAP(_xlfn.SEQUENCE(_xlpm.setCnt),_xlfn.LAMBDA(_xlpm.i,CUBERANKEDMEMBER("ThisWorkbookDataModel",_xlpm.cubeSet,_xlpm.i))),_xlpm.fullList,_xlfn._xlws.SORT(_xlfn.UNIQUE(_xlfn._xlws.FILTER(_xlfn.VSTACK(_xlpm.wbList,_xlpm.dmList),_xlfn.VSTACK(_xlpm.wbList,_xlpm.dmList)&lt;&gt;"All"))),_xlpm.idx,ROW()-ROW(tblBudget[[#Headers],[Category]]),IFERROR(INDEX(_xlpm.fullList,_xlpm.idx),""))</f>
        <v/>
      </c>
      <c r="C45" s="108">
        <f ca="1">SUMIFS(tblBudetLog[Budget Amount],tblBudetLog[Category],tblBudget[[#This Row],[Category]],tblBudetLog[Budget Type],"Original Budget",tblBudetLog[Budget Status],"Approved")</f>
        <v>0</v>
      </c>
      <c r="D45" s="109">
        <f ca="1">SUMIFS(tblBudetLog[Budget Amount],tblBudetLog[Category],tblBudget[[#This Row],[Category]],tblBudetLog[Budget Type],"Budget Adjustment")</f>
        <v>0</v>
      </c>
      <c r="E45" s="110">
        <f ca="1">tblBudget[[#This Row],[Original Budget]]+tblBudget[[#This Row],[Approved Changes]]</f>
        <v>0</v>
      </c>
      <c r="F45" s="113">
        <f ca="1">tblBudget[[#This Row],[Revised Budget]]/$B$5</f>
        <v>0</v>
      </c>
      <c r="G45" s="109" cm="1">
        <f t="array" aca="1" ref="G45" ca="1">SUMPRODUCT((tblForecastLog[Category]=tblBudget[[#This Row],[Category]])*ISNUMBER(MATCH(tblForecastLog[Forecasted Cost Type],{"Actual Cost","Purchase Order","Subcontract","Subcontract CO #1","Subcontract CO #2","Subcontract CO #3","Subcontract CO #4","Subcontract CO #5","Subcontract CO #6","Subcontract CO #7","Subcontract CO #8","Subcontract CO #9","Subcontract CO #10"},0))*(tblForecastLog[Forecasted Cost Status]="Accepted")*tblForecastLog[Forecasted Cost Amount])</f>
        <v>0</v>
      </c>
      <c r="H45" s="109" cm="1">
        <f t="array" aca="1" ref="H45" ca="1">SUMPRODUCT((tblForecastLog[Category]=tblBudget[[#This Row],[Category]])*ISNUMBER(MATCH(tblForecastLog[Forecasted Cost Type],{"Initial Estimate","Revised Estimate"},0))*ISNUMBER(MATCH(tblForecastLog[Forecasted Cost Status],{"Accepted","Pending"},0))*tblForecastLog[Forecasted Cost Amount])</f>
        <v>0</v>
      </c>
      <c r="I45" s="114">
        <f ca="1">tblBudget[[#This Row],[Committed Cost]]+tblBudget[[#This Row],[Estimated Costs]]</f>
        <v>0</v>
      </c>
      <c r="J45" s="115">
        <f ca="1">tblBudget[[#This Row],[Forecasted Final Cost]]/$B$5</f>
        <v>0</v>
      </c>
      <c r="K45" s="116">
        <f ca="1">tblBudget[[#This Row],[Revised Budget]]-tblBudget[[#This Row],[Forecasted Final Cost]]</f>
        <v>0</v>
      </c>
      <c r="L45" s="108">
        <f t="shared" ca="1" si="1"/>
        <v>0</v>
      </c>
      <c r="M45" s="117"/>
    </row>
    <row r="46" spans="2:13" ht="21.75" customHeight="1" x14ac:dyDescent="0.6">
      <c r="B46" s="107" t="str" cm="1">
        <f t="array" aca="1" ref="B46" ca="1">_xlfn.LET(_xlpm.trig,RAND()*0,_xlpm.wbRaw,_xlfn.VSTACK(tblForecastLog[Category],tblBudetLog[Category]),_xlpm.wbList,_xlfn._xlws.SORT(_xlfn.UNIQUE(_xlfn._xlws.FILTER(_xlpm.wbRaw,_xlpm.wbRaw&lt;&gt;""))),_xlpm.cubeSet,CUBESET("ThisWorkbookDataModel","[Fact_JobDetail].[_Category].Members"),_xlpm.setCnt,CUBESETCOUNT(_xlpm.cubeSet),_xlpm.dmList,_xlfn.MAP(_xlfn.SEQUENCE(_xlpm.setCnt),_xlfn.LAMBDA(_xlpm.i,CUBERANKEDMEMBER("ThisWorkbookDataModel",_xlpm.cubeSet,_xlpm.i))),_xlpm.fullList,_xlfn._xlws.SORT(_xlfn.UNIQUE(_xlfn._xlws.FILTER(_xlfn.VSTACK(_xlpm.wbList,_xlpm.dmList),_xlfn.VSTACK(_xlpm.wbList,_xlpm.dmList)&lt;&gt;"All"))),_xlpm.idx,ROW()-ROW(tblBudget[[#Headers],[Category]]),IFERROR(INDEX(_xlpm.fullList,_xlpm.idx),""))</f>
        <v/>
      </c>
      <c r="C46" s="108">
        <f ca="1">SUMIFS(tblBudetLog[Budget Amount],tblBudetLog[Category],tblBudget[[#This Row],[Category]],tblBudetLog[Budget Type],"Original Budget",tblBudetLog[Budget Status],"Approved")</f>
        <v>0</v>
      </c>
      <c r="D46" s="109">
        <f ca="1">SUMIFS(tblBudetLog[Budget Amount],tblBudetLog[Category],tblBudget[[#This Row],[Category]],tblBudetLog[Budget Type],"Budget Adjustment")</f>
        <v>0</v>
      </c>
      <c r="E46" s="110">
        <f ca="1">tblBudget[[#This Row],[Original Budget]]+tblBudget[[#This Row],[Approved Changes]]</f>
        <v>0</v>
      </c>
      <c r="F46" s="113">
        <f ca="1">tblBudget[[#This Row],[Revised Budget]]/$B$5</f>
        <v>0</v>
      </c>
      <c r="G46" s="109" cm="1">
        <f t="array" aca="1" ref="G46" ca="1">SUMPRODUCT((tblForecastLog[Category]=tblBudget[[#This Row],[Category]])*ISNUMBER(MATCH(tblForecastLog[Forecasted Cost Type],{"Actual Cost","Purchase Order","Subcontract","Subcontract CO #1","Subcontract CO #2","Subcontract CO #3","Subcontract CO #4","Subcontract CO #5","Subcontract CO #6","Subcontract CO #7","Subcontract CO #8","Subcontract CO #9","Subcontract CO #10"},0))*(tblForecastLog[Forecasted Cost Status]="Accepted")*tblForecastLog[Forecasted Cost Amount])</f>
        <v>0</v>
      </c>
      <c r="H46" s="109" cm="1">
        <f t="array" aca="1" ref="H46" ca="1">SUMPRODUCT((tblForecastLog[Category]=tblBudget[[#This Row],[Category]])*ISNUMBER(MATCH(tblForecastLog[Forecasted Cost Type],{"Initial Estimate","Revised Estimate"},0))*ISNUMBER(MATCH(tblForecastLog[Forecasted Cost Status],{"Accepted","Pending"},0))*tblForecastLog[Forecasted Cost Amount])</f>
        <v>0</v>
      </c>
      <c r="I46" s="114">
        <f ca="1">tblBudget[[#This Row],[Committed Cost]]+tblBudget[[#This Row],[Estimated Costs]]</f>
        <v>0</v>
      </c>
      <c r="J46" s="115">
        <f ca="1">tblBudget[[#This Row],[Forecasted Final Cost]]/$B$5</f>
        <v>0</v>
      </c>
      <c r="K46" s="116">
        <f ca="1">tblBudget[[#This Row],[Revised Budget]]-tblBudget[[#This Row],[Forecasted Final Cost]]</f>
        <v>0</v>
      </c>
      <c r="L46" s="108">
        <f t="shared" ca="1" si="1"/>
        <v>0</v>
      </c>
      <c r="M46" s="117"/>
    </row>
    <row r="47" spans="2:13" ht="21.75" customHeight="1" x14ac:dyDescent="0.6">
      <c r="B47" s="107" t="str" cm="1">
        <f t="array" aca="1" ref="B47" ca="1">_xlfn.LET(_xlpm.trig,RAND()*0,_xlpm.wbRaw,_xlfn.VSTACK(tblForecastLog[Category],tblBudetLog[Category]),_xlpm.wbList,_xlfn._xlws.SORT(_xlfn.UNIQUE(_xlfn._xlws.FILTER(_xlpm.wbRaw,_xlpm.wbRaw&lt;&gt;""))),_xlpm.cubeSet,CUBESET("ThisWorkbookDataModel","[Fact_JobDetail].[_Category].Members"),_xlpm.setCnt,CUBESETCOUNT(_xlpm.cubeSet),_xlpm.dmList,_xlfn.MAP(_xlfn.SEQUENCE(_xlpm.setCnt),_xlfn.LAMBDA(_xlpm.i,CUBERANKEDMEMBER("ThisWorkbookDataModel",_xlpm.cubeSet,_xlpm.i))),_xlpm.fullList,_xlfn._xlws.SORT(_xlfn.UNIQUE(_xlfn._xlws.FILTER(_xlfn.VSTACK(_xlpm.wbList,_xlpm.dmList),_xlfn.VSTACK(_xlpm.wbList,_xlpm.dmList)&lt;&gt;"All"))),_xlpm.idx,ROW()-ROW(tblBudget[[#Headers],[Category]]),IFERROR(INDEX(_xlpm.fullList,_xlpm.idx),""))</f>
        <v/>
      </c>
      <c r="C47" s="108">
        <f ca="1">SUMIFS(tblBudetLog[Budget Amount],tblBudetLog[Category],tblBudget[[#This Row],[Category]],tblBudetLog[Budget Type],"Original Budget",tblBudetLog[Budget Status],"Approved")</f>
        <v>0</v>
      </c>
      <c r="D47" s="109">
        <f ca="1">SUMIFS(tblBudetLog[Budget Amount],tblBudetLog[Category],tblBudget[[#This Row],[Category]],tblBudetLog[Budget Type],"Budget Adjustment")</f>
        <v>0</v>
      </c>
      <c r="E47" s="110">
        <f ca="1">tblBudget[[#This Row],[Original Budget]]+tblBudget[[#This Row],[Approved Changes]]</f>
        <v>0</v>
      </c>
      <c r="F47" s="113">
        <f ca="1">tblBudget[[#This Row],[Revised Budget]]/$B$5</f>
        <v>0</v>
      </c>
      <c r="G47" s="109" cm="1">
        <f t="array" aca="1" ref="G47" ca="1">SUMPRODUCT((tblForecastLog[Category]=tblBudget[[#This Row],[Category]])*ISNUMBER(MATCH(tblForecastLog[Forecasted Cost Type],{"Actual Cost","Purchase Order","Subcontract","Subcontract CO #1","Subcontract CO #2","Subcontract CO #3","Subcontract CO #4","Subcontract CO #5","Subcontract CO #6","Subcontract CO #7","Subcontract CO #8","Subcontract CO #9","Subcontract CO #10"},0))*(tblForecastLog[Forecasted Cost Status]="Accepted")*tblForecastLog[Forecasted Cost Amount])</f>
        <v>0</v>
      </c>
      <c r="H47" s="109" cm="1">
        <f t="array" aca="1" ref="H47" ca="1">SUMPRODUCT((tblForecastLog[Category]=tblBudget[[#This Row],[Category]])*ISNUMBER(MATCH(tblForecastLog[Forecasted Cost Type],{"Initial Estimate","Revised Estimate"},0))*ISNUMBER(MATCH(tblForecastLog[Forecasted Cost Status],{"Accepted","Pending"},0))*tblForecastLog[Forecasted Cost Amount])</f>
        <v>0</v>
      </c>
      <c r="I47" s="114">
        <f ca="1">tblBudget[[#This Row],[Committed Cost]]+tblBudget[[#This Row],[Estimated Costs]]</f>
        <v>0</v>
      </c>
      <c r="J47" s="115">
        <f ca="1">tblBudget[[#This Row],[Forecasted Final Cost]]/$B$5</f>
        <v>0</v>
      </c>
      <c r="K47" s="116">
        <f ca="1">tblBudget[[#This Row],[Revised Budget]]-tblBudget[[#This Row],[Forecasted Final Cost]]</f>
        <v>0</v>
      </c>
      <c r="L47" s="108">
        <f t="shared" ca="1" si="1"/>
        <v>0</v>
      </c>
      <c r="M47" s="117"/>
    </row>
    <row r="48" spans="2:13" ht="21.75" customHeight="1" x14ac:dyDescent="0.6">
      <c r="B48" s="107" t="str" cm="1">
        <f t="array" aca="1" ref="B48" ca="1">_xlfn.LET(_xlpm.trig,RAND()*0,_xlpm.wbRaw,_xlfn.VSTACK(tblForecastLog[Category],tblBudetLog[Category]),_xlpm.wbList,_xlfn._xlws.SORT(_xlfn.UNIQUE(_xlfn._xlws.FILTER(_xlpm.wbRaw,_xlpm.wbRaw&lt;&gt;""))),_xlpm.cubeSet,CUBESET("ThisWorkbookDataModel","[Fact_JobDetail].[_Category].Members"),_xlpm.setCnt,CUBESETCOUNT(_xlpm.cubeSet),_xlpm.dmList,_xlfn.MAP(_xlfn.SEQUENCE(_xlpm.setCnt),_xlfn.LAMBDA(_xlpm.i,CUBERANKEDMEMBER("ThisWorkbookDataModel",_xlpm.cubeSet,_xlpm.i))),_xlpm.fullList,_xlfn._xlws.SORT(_xlfn.UNIQUE(_xlfn._xlws.FILTER(_xlfn.VSTACK(_xlpm.wbList,_xlpm.dmList),_xlfn.VSTACK(_xlpm.wbList,_xlpm.dmList)&lt;&gt;"All"))),_xlpm.idx,ROW()-ROW(tblBudget[[#Headers],[Category]]),IFERROR(INDEX(_xlpm.fullList,_xlpm.idx),""))</f>
        <v/>
      </c>
      <c r="C48" s="108">
        <f ca="1">SUMIFS(tblBudetLog[Budget Amount],tblBudetLog[Category],tblBudget[[#This Row],[Category]],tblBudetLog[Budget Type],"Original Budget",tblBudetLog[Budget Status],"Approved")</f>
        <v>0</v>
      </c>
      <c r="D48" s="109">
        <f ca="1">SUMIFS(tblBudetLog[Budget Amount],tblBudetLog[Category],tblBudget[[#This Row],[Category]],tblBudetLog[Budget Type],"Budget Adjustment")</f>
        <v>0</v>
      </c>
      <c r="E48" s="110">
        <f ca="1">tblBudget[[#This Row],[Original Budget]]+tblBudget[[#This Row],[Approved Changes]]</f>
        <v>0</v>
      </c>
      <c r="F48" s="113">
        <f ca="1">tblBudget[[#This Row],[Revised Budget]]/$B$5</f>
        <v>0</v>
      </c>
      <c r="G48" s="109" cm="1">
        <f t="array" aca="1" ref="G48" ca="1">SUMPRODUCT((tblForecastLog[Category]=tblBudget[[#This Row],[Category]])*ISNUMBER(MATCH(tblForecastLog[Forecasted Cost Type],{"Actual Cost","Purchase Order","Subcontract","Subcontract CO #1","Subcontract CO #2","Subcontract CO #3","Subcontract CO #4","Subcontract CO #5","Subcontract CO #6","Subcontract CO #7","Subcontract CO #8","Subcontract CO #9","Subcontract CO #10"},0))*(tblForecastLog[Forecasted Cost Status]="Accepted")*tblForecastLog[Forecasted Cost Amount])</f>
        <v>0</v>
      </c>
      <c r="H48" s="109" cm="1">
        <f t="array" aca="1" ref="H48" ca="1">SUMPRODUCT((tblForecastLog[Category]=tblBudget[[#This Row],[Category]])*ISNUMBER(MATCH(tblForecastLog[Forecasted Cost Type],{"Initial Estimate","Revised Estimate"},0))*ISNUMBER(MATCH(tblForecastLog[Forecasted Cost Status],{"Accepted","Pending"},0))*tblForecastLog[Forecasted Cost Amount])</f>
        <v>0</v>
      </c>
      <c r="I48" s="114">
        <f ca="1">tblBudget[[#This Row],[Committed Cost]]+tblBudget[[#This Row],[Estimated Costs]]</f>
        <v>0</v>
      </c>
      <c r="J48" s="115">
        <f ca="1">tblBudget[[#This Row],[Forecasted Final Cost]]/$B$5</f>
        <v>0</v>
      </c>
      <c r="K48" s="116">
        <f ca="1">tblBudget[[#This Row],[Revised Budget]]-tblBudget[[#This Row],[Forecasted Final Cost]]</f>
        <v>0</v>
      </c>
      <c r="L48" s="108">
        <f t="shared" ca="1" si="1"/>
        <v>0</v>
      </c>
      <c r="M48" s="117"/>
    </row>
    <row r="49" spans="2:13" ht="21.75" customHeight="1" x14ac:dyDescent="0.6">
      <c r="B49" s="107" t="str" cm="1">
        <f t="array" aca="1" ref="B49" ca="1">_xlfn.LET(_xlpm.trig,RAND()*0,_xlpm.wbRaw,_xlfn.VSTACK(tblForecastLog[Category],tblBudetLog[Category]),_xlpm.wbList,_xlfn._xlws.SORT(_xlfn.UNIQUE(_xlfn._xlws.FILTER(_xlpm.wbRaw,_xlpm.wbRaw&lt;&gt;""))),_xlpm.cubeSet,CUBESET("ThisWorkbookDataModel","[Fact_JobDetail].[_Category].Members"),_xlpm.setCnt,CUBESETCOUNT(_xlpm.cubeSet),_xlpm.dmList,_xlfn.MAP(_xlfn.SEQUENCE(_xlpm.setCnt),_xlfn.LAMBDA(_xlpm.i,CUBERANKEDMEMBER("ThisWorkbookDataModel",_xlpm.cubeSet,_xlpm.i))),_xlpm.fullList,_xlfn._xlws.SORT(_xlfn.UNIQUE(_xlfn._xlws.FILTER(_xlfn.VSTACK(_xlpm.wbList,_xlpm.dmList),_xlfn.VSTACK(_xlpm.wbList,_xlpm.dmList)&lt;&gt;"All"))),_xlpm.idx,ROW()-ROW(tblBudget[[#Headers],[Category]]),IFERROR(INDEX(_xlpm.fullList,_xlpm.idx),""))</f>
        <v/>
      </c>
      <c r="C49" s="108">
        <f ca="1">SUMIFS(tblBudetLog[Budget Amount],tblBudetLog[Category],tblBudget[[#This Row],[Category]],tblBudetLog[Budget Type],"Original Budget",tblBudetLog[Budget Status],"Approved")</f>
        <v>0</v>
      </c>
      <c r="D49" s="109">
        <f ca="1">SUMIFS(tblBudetLog[Budget Amount],tblBudetLog[Category],tblBudget[[#This Row],[Category]],tblBudetLog[Budget Type],"Budget Adjustment")</f>
        <v>0</v>
      </c>
      <c r="E49" s="110">
        <f ca="1">tblBudget[[#This Row],[Original Budget]]+tblBudget[[#This Row],[Approved Changes]]</f>
        <v>0</v>
      </c>
      <c r="F49" s="113">
        <f ca="1">tblBudget[[#This Row],[Revised Budget]]/$B$5</f>
        <v>0</v>
      </c>
      <c r="G49" s="109" cm="1">
        <f t="array" aca="1" ref="G49" ca="1">SUMPRODUCT((tblForecastLog[Category]=tblBudget[[#This Row],[Category]])*ISNUMBER(MATCH(tblForecastLog[Forecasted Cost Type],{"Actual Cost","Purchase Order","Subcontract","Subcontract CO #1","Subcontract CO #2","Subcontract CO #3","Subcontract CO #4","Subcontract CO #5","Subcontract CO #6","Subcontract CO #7","Subcontract CO #8","Subcontract CO #9","Subcontract CO #10"},0))*(tblForecastLog[Forecasted Cost Status]="Accepted")*tblForecastLog[Forecasted Cost Amount])</f>
        <v>0</v>
      </c>
      <c r="H49" s="109" cm="1">
        <f t="array" aca="1" ref="H49" ca="1">SUMPRODUCT((tblForecastLog[Category]=tblBudget[[#This Row],[Category]])*ISNUMBER(MATCH(tblForecastLog[Forecasted Cost Type],{"Initial Estimate","Revised Estimate"},0))*ISNUMBER(MATCH(tblForecastLog[Forecasted Cost Status],{"Accepted","Pending"},0))*tblForecastLog[Forecasted Cost Amount])</f>
        <v>0</v>
      </c>
      <c r="I49" s="114">
        <f ca="1">tblBudget[[#This Row],[Committed Cost]]+tblBudget[[#This Row],[Estimated Costs]]</f>
        <v>0</v>
      </c>
      <c r="J49" s="115">
        <f ca="1">tblBudget[[#This Row],[Forecasted Final Cost]]/$B$5</f>
        <v>0</v>
      </c>
      <c r="K49" s="116">
        <f ca="1">tblBudget[[#This Row],[Revised Budget]]-tblBudget[[#This Row],[Forecasted Final Cost]]</f>
        <v>0</v>
      </c>
      <c r="L49" s="108">
        <f t="shared" ca="1" si="1"/>
        <v>0</v>
      </c>
      <c r="M49" s="117"/>
    </row>
    <row r="50" spans="2:13" ht="21.75" customHeight="1" x14ac:dyDescent="0.6">
      <c r="B50" s="107" t="str" cm="1">
        <f t="array" aca="1" ref="B50" ca="1">_xlfn.LET(_xlpm.trig,RAND()*0,_xlpm.wbRaw,_xlfn.VSTACK(tblForecastLog[Category],tblBudetLog[Category]),_xlpm.wbList,_xlfn._xlws.SORT(_xlfn.UNIQUE(_xlfn._xlws.FILTER(_xlpm.wbRaw,_xlpm.wbRaw&lt;&gt;""))),_xlpm.cubeSet,CUBESET("ThisWorkbookDataModel","[Fact_JobDetail].[_Category].Members"),_xlpm.setCnt,CUBESETCOUNT(_xlpm.cubeSet),_xlpm.dmList,_xlfn.MAP(_xlfn.SEQUENCE(_xlpm.setCnt),_xlfn.LAMBDA(_xlpm.i,CUBERANKEDMEMBER("ThisWorkbookDataModel",_xlpm.cubeSet,_xlpm.i))),_xlpm.fullList,_xlfn._xlws.SORT(_xlfn.UNIQUE(_xlfn._xlws.FILTER(_xlfn.VSTACK(_xlpm.wbList,_xlpm.dmList),_xlfn.VSTACK(_xlpm.wbList,_xlpm.dmList)&lt;&gt;"All"))),_xlpm.idx,ROW()-ROW(tblBudget[[#Headers],[Category]]),IFERROR(INDEX(_xlpm.fullList,_xlpm.idx),""))</f>
        <v/>
      </c>
      <c r="C50" s="108">
        <f ca="1">SUMIFS(tblBudetLog[Budget Amount],tblBudetLog[Category],tblBudget[[#This Row],[Category]],tblBudetLog[Budget Type],"Original Budget",tblBudetLog[Budget Status],"Approved")</f>
        <v>0</v>
      </c>
      <c r="D50" s="109">
        <f ca="1">SUMIFS(tblBudetLog[Budget Amount],tblBudetLog[Category],tblBudget[[#This Row],[Category]],tblBudetLog[Budget Type],"Budget Adjustment")</f>
        <v>0</v>
      </c>
      <c r="E50" s="110">
        <f ca="1">tblBudget[[#This Row],[Original Budget]]+tblBudget[[#This Row],[Approved Changes]]</f>
        <v>0</v>
      </c>
      <c r="F50" s="113">
        <f ca="1">tblBudget[[#This Row],[Revised Budget]]/$B$5</f>
        <v>0</v>
      </c>
      <c r="G50" s="109" cm="1">
        <f t="array" aca="1" ref="G50" ca="1">SUMPRODUCT((tblForecastLog[Category]=tblBudget[[#This Row],[Category]])*ISNUMBER(MATCH(tblForecastLog[Forecasted Cost Type],{"Actual Cost","Purchase Order","Subcontract","Subcontract CO #1","Subcontract CO #2","Subcontract CO #3","Subcontract CO #4","Subcontract CO #5","Subcontract CO #6","Subcontract CO #7","Subcontract CO #8","Subcontract CO #9","Subcontract CO #10"},0))*(tblForecastLog[Forecasted Cost Status]="Accepted")*tblForecastLog[Forecasted Cost Amount])</f>
        <v>0</v>
      </c>
      <c r="H50" s="109" cm="1">
        <f t="array" aca="1" ref="H50" ca="1">SUMPRODUCT((tblForecastLog[Category]=tblBudget[[#This Row],[Category]])*ISNUMBER(MATCH(tblForecastLog[Forecasted Cost Type],{"Initial Estimate","Revised Estimate"},0))*ISNUMBER(MATCH(tblForecastLog[Forecasted Cost Status],{"Accepted","Pending"},0))*tblForecastLog[Forecasted Cost Amount])</f>
        <v>0</v>
      </c>
      <c r="I50" s="114">
        <f ca="1">tblBudget[[#This Row],[Committed Cost]]+tblBudget[[#This Row],[Estimated Costs]]</f>
        <v>0</v>
      </c>
      <c r="J50" s="115">
        <f ca="1">tblBudget[[#This Row],[Forecasted Final Cost]]/$B$5</f>
        <v>0</v>
      </c>
      <c r="K50" s="116">
        <f ca="1">tblBudget[[#This Row],[Revised Budget]]-tblBudget[[#This Row],[Forecasted Final Cost]]</f>
        <v>0</v>
      </c>
      <c r="L50" s="108">
        <f t="shared" ca="1" si="1"/>
        <v>0</v>
      </c>
      <c r="M50" s="117"/>
    </row>
    <row r="51" spans="2:13" ht="21.75" customHeight="1" x14ac:dyDescent="0.6">
      <c r="B51" s="107" t="str" cm="1">
        <f t="array" aca="1" ref="B51" ca="1">_xlfn.LET(_xlpm.trig,RAND()*0,_xlpm.wbRaw,_xlfn.VSTACK(tblForecastLog[Category],tblBudetLog[Category]),_xlpm.wbList,_xlfn._xlws.SORT(_xlfn.UNIQUE(_xlfn._xlws.FILTER(_xlpm.wbRaw,_xlpm.wbRaw&lt;&gt;""))),_xlpm.cubeSet,CUBESET("ThisWorkbookDataModel","[Fact_JobDetail].[_Category].Members"),_xlpm.setCnt,CUBESETCOUNT(_xlpm.cubeSet),_xlpm.dmList,_xlfn.MAP(_xlfn.SEQUENCE(_xlpm.setCnt),_xlfn.LAMBDA(_xlpm.i,CUBERANKEDMEMBER("ThisWorkbookDataModel",_xlpm.cubeSet,_xlpm.i))),_xlpm.fullList,_xlfn._xlws.SORT(_xlfn.UNIQUE(_xlfn._xlws.FILTER(_xlfn.VSTACK(_xlpm.wbList,_xlpm.dmList),_xlfn.VSTACK(_xlpm.wbList,_xlpm.dmList)&lt;&gt;"All"))),_xlpm.idx,ROW()-ROW(tblBudget[[#Headers],[Category]]),IFERROR(INDEX(_xlpm.fullList,_xlpm.idx),""))</f>
        <v/>
      </c>
      <c r="C51" s="108">
        <f ca="1">SUMIFS(tblBudetLog[Budget Amount],tblBudetLog[Category],tblBudget[[#This Row],[Category]],tblBudetLog[Budget Type],"Original Budget",tblBudetLog[Budget Status],"Approved")</f>
        <v>0</v>
      </c>
      <c r="D51" s="109">
        <f ca="1">SUMIFS(tblBudetLog[Budget Amount],tblBudetLog[Category],tblBudget[[#This Row],[Category]],tblBudetLog[Budget Type],"Budget Adjustment")</f>
        <v>0</v>
      </c>
      <c r="E51" s="110">
        <f ca="1">tblBudget[[#This Row],[Original Budget]]+tblBudget[[#This Row],[Approved Changes]]</f>
        <v>0</v>
      </c>
      <c r="F51" s="113">
        <f ca="1">tblBudget[[#This Row],[Revised Budget]]/$B$5</f>
        <v>0</v>
      </c>
      <c r="G51" s="109" cm="1">
        <f t="array" aca="1" ref="G51" ca="1">SUMPRODUCT((tblForecastLog[Category]=tblBudget[[#This Row],[Category]])*ISNUMBER(MATCH(tblForecastLog[Forecasted Cost Type],{"Actual Cost","Purchase Order","Subcontract","Subcontract CO #1","Subcontract CO #2","Subcontract CO #3","Subcontract CO #4","Subcontract CO #5","Subcontract CO #6","Subcontract CO #7","Subcontract CO #8","Subcontract CO #9","Subcontract CO #10"},0))*(tblForecastLog[Forecasted Cost Status]="Accepted")*tblForecastLog[Forecasted Cost Amount])</f>
        <v>0</v>
      </c>
      <c r="H51" s="109" cm="1">
        <f t="array" aca="1" ref="H51" ca="1">SUMPRODUCT((tblForecastLog[Category]=tblBudget[[#This Row],[Category]])*ISNUMBER(MATCH(tblForecastLog[Forecasted Cost Type],{"Initial Estimate","Revised Estimate"},0))*ISNUMBER(MATCH(tblForecastLog[Forecasted Cost Status],{"Accepted","Pending"},0))*tblForecastLog[Forecasted Cost Amount])</f>
        <v>0</v>
      </c>
      <c r="I51" s="114">
        <f ca="1">tblBudget[[#This Row],[Committed Cost]]+tblBudget[[#This Row],[Estimated Costs]]</f>
        <v>0</v>
      </c>
      <c r="J51" s="115">
        <f ca="1">tblBudget[[#This Row],[Forecasted Final Cost]]/$B$5</f>
        <v>0</v>
      </c>
      <c r="K51" s="116">
        <f ca="1">tblBudget[[#This Row],[Revised Budget]]-tblBudget[[#This Row],[Forecasted Final Cost]]</f>
        <v>0</v>
      </c>
      <c r="L51" s="108">
        <f t="shared" ca="1" si="1"/>
        <v>0</v>
      </c>
      <c r="M51" s="117"/>
    </row>
    <row r="52" spans="2:13" ht="21.75" customHeight="1" x14ac:dyDescent="0.6">
      <c r="B52" s="107" t="str" cm="1">
        <f t="array" aca="1" ref="B52" ca="1">_xlfn.LET(_xlpm.trig,RAND()*0,_xlpm.wbRaw,_xlfn.VSTACK(tblForecastLog[Category],tblBudetLog[Category]),_xlpm.wbList,_xlfn._xlws.SORT(_xlfn.UNIQUE(_xlfn._xlws.FILTER(_xlpm.wbRaw,_xlpm.wbRaw&lt;&gt;""))),_xlpm.cubeSet,CUBESET("ThisWorkbookDataModel","[Fact_JobDetail].[_Category].Members"),_xlpm.setCnt,CUBESETCOUNT(_xlpm.cubeSet),_xlpm.dmList,_xlfn.MAP(_xlfn.SEQUENCE(_xlpm.setCnt),_xlfn.LAMBDA(_xlpm.i,CUBERANKEDMEMBER("ThisWorkbookDataModel",_xlpm.cubeSet,_xlpm.i))),_xlpm.fullList,_xlfn._xlws.SORT(_xlfn.UNIQUE(_xlfn._xlws.FILTER(_xlfn.VSTACK(_xlpm.wbList,_xlpm.dmList),_xlfn.VSTACK(_xlpm.wbList,_xlpm.dmList)&lt;&gt;"All"))),_xlpm.idx,ROW()-ROW(tblBudget[[#Headers],[Category]]),IFERROR(INDEX(_xlpm.fullList,_xlpm.idx),""))</f>
        <v/>
      </c>
      <c r="C52" s="108">
        <f ca="1">SUMIFS(tblBudetLog[Budget Amount],tblBudetLog[Category],tblBudget[[#This Row],[Category]],tblBudetLog[Budget Type],"Original Budget",tblBudetLog[Budget Status],"Approved")</f>
        <v>0</v>
      </c>
      <c r="D52" s="109">
        <f ca="1">SUMIFS(tblBudetLog[Budget Amount],tblBudetLog[Category],tblBudget[[#This Row],[Category]],tblBudetLog[Budget Type],"Budget Adjustment")</f>
        <v>0</v>
      </c>
      <c r="E52" s="110">
        <f ca="1">tblBudget[[#This Row],[Original Budget]]+tblBudget[[#This Row],[Approved Changes]]</f>
        <v>0</v>
      </c>
      <c r="F52" s="113">
        <f ca="1">tblBudget[[#This Row],[Revised Budget]]/$B$5</f>
        <v>0</v>
      </c>
      <c r="G52" s="109" cm="1">
        <f t="array" aca="1" ref="G52" ca="1">SUMPRODUCT((tblForecastLog[Category]=tblBudget[[#This Row],[Category]])*ISNUMBER(MATCH(tblForecastLog[Forecasted Cost Type],{"Actual Cost","Purchase Order","Subcontract","Subcontract CO #1","Subcontract CO #2","Subcontract CO #3","Subcontract CO #4","Subcontract CO #5","Subcontract CO #6","Subcontract CO #7","Subcontract CO #8","Subcontract CO #9","Subcontract CO #10"},0))*(tblForecastLog[Forecasted Cost Status]="Accepted")*tblForecastLog[Forecasted Cost Amount])</f>
        <v>0</v>
      </c>
      <c r="H52" s="109" cm="1">
        <f t="array" aca="1" ref="H52" ca="1">SUMPRODUCT((tblForecastLog[Category]=tblBudget[[#This Row],[Category]])*ISNUMBER(MATCH(tblForecastLog[Forecasted Cost Type],{"Initial Estimate","Revised Estimate"},0))*ISNUMBER(MATCH(tblForecastLog[Forecasted Cost Status],{"Accepted","Pending"},0))*tblForecastLog[Forecasted Cost Amount])</f>
        <v>0</v>
      </c>
      <c r="I52" s="114">
        <f ca="1">tblBudget[[#This Row],[Committed Cost]]+tblBudget[[#This Row],[Estimated Costs]]</f>
        <v>0</v>
      </c>
      <c r="J52" s="115">
        <f ca="1">tblBudget[[#This Row],[Forecasted Final Cost]]/$B$5</f>
        <v>0</v>
      </c>
      <c r="K52" s="116">
        <f ca="1">tblBudget[[#This Row],[Revised Budget]]-tblBudget[[#This Row],[Forecasted Final Cost]]</f>
        <v>0</v>
      </c>
      <c r="L52" s="108">
        <f t="shared" ca="1" si="1"/>
        <v>0</v>
      </c>
      <c r="M52" s="117"/>
    </row>
    <row r="53" spans="2:13" ht="21.75" customHeight="1" x14ac:dyDescent="0.6">
      <c r="B53" s="107" t="str" cm="1">
        <f t="array" aca="1" ref="B53" ca="1">_xlfn.LET(_xlpm.trig,RAND()*0,_xlpm.wbRaw,_xlfn.VSTACK(tblForecastLog[Category],tblBudetLog[Category]),_xlpm.wbList,_xlfn._xlws.SORT(_xlfn.UNIQUE(_xlfn._xlws.FILTER(_xlpm.wbRaw,_xlpm.wbRaw&lt;&gt;""))),_xlpm.cubeSet,CUBESET("ThisWorkbookDataModel","[Fact_JobDetail].[_Category].Members"),_xlpm.setCnt,CUBESETCOUNT(_xlpm.cubeSet),_xlpm.dmList,_xlfn.MAP(_xlfn.SEQUENCE(_xlpm.setCnt),_xlfn.LAMBDA(_xlpm.i,CUBERANKEDMEMBER("ThisWorkbookDataModel",_xlpm.cubeSet,_xlpm.i))),_xlpm.fullList,_xlfn._xlws.SORT(_xlfn.UNIQUE(_xlfn._xlws.FILTER(_xlfn.VSTACK(_xlpm.wbList,_xlpm.dmList),_xlfn.VSTACK(_xlpm.wbList,_xlpm.dmList)&lt;&gt;"All"))),_xlpm.idx,ROW()-ROW(tblBudget[[#Headers],[Category]]),IFERROR(INDEX(_xlpm.fullList,_xlpm.idx),""))</f>
        <v/>
      </c>
      <c r="C53" s="108">
        <f ca="1">SUMIFS(tblBudetLog[Budget Amount],tblBudetLog[Category],tblBudget[[#This Row],[Category]],tblBudetLog[Budget Type],"Original Budget",tblBudetLog[Budget Status],"Approved")</f>
        <v>0</v>
      </c>
      <c r="D53" s="109">
        <f ca="1">SUMIFS(tblBudetLog[Budget Amount],tblBudetLog[Category],tblBudget[[#This Row],[Category]],tblBudetLog[Budget Type],"Budget Adjustment")</f>
        <v>0</v>
      </c>
      <c r="E53" s="110">
        <f ca="1">tblBudget[[#This Row],[Original Budget]]+tblBudget[[#This Row],[Approved Changes]]</f>
        <v>0</v>
      </c>
      <c r="F53" s="113">
        <f ca="1">tblBudget[[#This Row],[Revised Budget]]/$B$5</f>
        <v>0</v>
      </c>
      <c r="G53" s="109" cm="1">
        <f t="array" aca="1" ref="G53" ca="1">SUMPRODUCT((tblForecastLog[Category]=tblBudget[[#This Row],[Category]])*ISNUMBER(MATCH(tblForecastLog[Forecasted Cost Type],{"Actual Cost","Purchase Order","Subcontract","Subcontract CO #1","Subcontract CO #2","Subcontract CO #3","Subcontract CO #4","Subcontract CO #5","Subcontract CO #6","Subcontract CO #7","Subcontract CO #8","Subcontract CO #9","Subcontract CO #10"},0))*(tblForecastLog[Forecasted Cost Status]="Accepted")*tblForecastLog[Forecasted Cost Amount])</f>
        <v>0</v>
      </c>
      <c r="H53" s="109" cm="1">
        <f t="array" aca="1" ref="H53" ca="1">SUMPRODUCT((tblForecastLog[Category]=tblBudget[[#This Row],[Category]])*ISNUMBER(MATCH(tblForecastLog[Forecasted Cost Type],{"Initial Estimate","Revised Estimate"},0))*ISNUMBER(MATCH(tblForecastLog[Forecasted Cost Status],{"Accepted","Pending"},0))*tblForecastLog[Forecasted Cost Amount])</f>
        <v>0</v>
      </c>
      <c r="I53" s="114">
        <f ca="1">tblBudget[[#This Row],[Committed Cost]]+tblBudget[[#This Row],[Estimated Costs]]</f>
        <v>0</v>
      </c>
      <c r="J53" s="115">
        <f ca="1">tblBudget[[#This Row],[Forecasted Final Cost]]/$B$5</f>
        <v>0</v>
      </c>
      <c r="K53" s="116">
        <f ca="1">tblBudget[[#This Row],[Revised Budget]]-tblBudget[[#This Row],[Forecasted Final Cost]]</f>
        <v>0</v>
      </c>
      <c r="L53" s="108">
        <f t="shared" ca="1" si="1"/>
        <v>0</v>
      </c>
      <c r="M53" s="117"/>
    </row>
    <row r="54" spans="2:13" ht="21.75" customHeight="1" x14ac:dyDescent="0.6">
      <c r="B54" s="107" t="str" cm="1">
        <f t="array" aca="1" ref="B54" ca="1">_xlfn.LET(_xlpm.trig,RAND()*0,_xlpm.wbRaw,_xlfn.VSTACK(tblForecastLog[Category],tblBudetLog[Category]),_xlpm.wbList,_xlfn._xlws.SORT(_xlfn.UNIQUE(_xlfn._xlws.FILTER(_xlpm.wbRaw,_xlpm.wbRaw&lt;&gt;""))),_xlpm.cubeSet,CUBESET("ThisWorkbookDataModel","[Fact_JobDetail].[_Category].Members"),_xlpm.setCnt,CUBESETCOUNT(_xlpm.cubeSet),_xlpm.dmList,_xlfn.MAP(_xlfn.SEQUENCE(_xlpm.setCnt),_xlfn.LAMBDA(_xlpm.i,CUBERANKEDMEMBER("ThisWorkbookDataModel",_xlpm.cubeSet,_xlpm.i))),_xlpm.fullList,_xlfn._xlws.SORT(_xlfn.UNIQUE(_xlfn._xlws.FILTER(_xlfn.VSTACK(_xlpm.wbList,_xlpm.dmList),_xlfn.VSTACK(_xlpm.wbList,_xlpm.dmList)&lt;&gt;"All"))),_xlpm.idx,ROW()-ROW(tblBudget[[#Headers],[Category]]),IFERROR(INDEX(_xlpm.fullList,_xlpm.idx),""))</f>
        <v/>
      </c>
      <c r="C54" s="108">
        <f ca="1">SUMIFS(tblBudetLog[Budget Amount],tblBudetLog[Category],tblBudget[[#This Row],[Category]],tblBudetLog[Budget Type],"Original Budget",tblBudetLog[Budget Status],"Approved")</f>
        <v>0</v>
      </c>
      <c r="D54" s="109">
        <f ca="1">SUMIFS(tblBudetLog[Budget Amount],tblBudetLog[Category],tblBudget[[#This Row],[Category]],tblBudetLog[Budget Type],"Budget Adjustment")</f>
        <v>0</v>
      </c>
      <c r="E54" s="110">
        <f ca="1">tblBudget[[#This Row],[Original Budget]]+tblBudget[[#This Row],[Approved Changes]]</f>
        <v>0</v>
      </c>
      <c r="F54" s="113">
        <f ca="1">tblBudget[[#This Row],[Revised Budget]]/$B$5</f>
        <v>0</v>
      </c>
      <c r="G54" s="109" cm="1">
        <f t="array" aca="1" ref="G54" ca="1">SUMPRODUCT((tblForecastLog[Category]=tblBudget[[#This Row],[Category]])*ISNUMBER(MATCH(tblForecastLog[Forecasted Cost Type],{"Actual Cost","Purchase Order","Subcontract","Subcontract CO #1","Subcontract CO #2","Subcontract CO #3","Subcontract CO #4","Subcontract CO #5","Subcontract CO #6","Subcontract CO #7","Subcontract CO #8","Subcontract CO #9","Subcontract CO #10"},0))*(tblForecastLog[Forecasted Cost Status]="Accepted")*tblForecastLog[Forecasted Cost Amount])</f>
        <v>0</v>
      </c>
      <c r="H54" s="109" cm="1">
        <f t="array" aca="1" ref="H54" ca="1">SUMPRODUCT((tblForecastLog[Category]=tblBudget[[#This Row],[Category]])*ISNUMBER(MATCH(tblForecastLog[Forecasted Cost Type],{"Initial Estimate","Revised Estimate"},0))*ISNUMBER(MATCH(tblForecastLog[Forecasted Cost Status],{"Accepted","Pending"},0))*tblForecastLog[Forecasted Cost Amount])</f>
        <v>0</v>
      </c>
      <c r="I54" s="114">
        <f ca="1">tblBudget[[#This Row],[Committed Cost]]+tblBudget[[#This Row],[Estimated Costs]]</f>
        <v>0</v>
      </c>
      <c r="J54" s="115">
        <f ca="1">tblBudget[[#This Row],[Forecasted Final Cost]]/$B$5</f>
        <v>0</v>
      </c>
      <c r="K54" s="116">
        <f ca="1">tblBudget[[#This Row],[Revised Budget]]-tblBudget[[#This Row],[Forecasted Final Cost]]</f>
        <v>0</v>
      </c>
      <c r="L54" s="108">
        <f t="shared" ca="1" si="1"/>
        <v>0</v>
      </c>
      <c r="M54" s="117"/>
    </row>
    <row r="55" spans="2:13" ht="21.75" customHeight="1" x14ac:dyDescent="0.6">
      <c r="B55" s="107" t="str" cm="1">
        <f t="array" aca="1" ref="B55" ca="1">_xlfn.LET(_xlpm.trig,RAND()*0,_xlpm.wbRaw,_xlfn.VSTACK(tblForecastLog[Category],tblBudetLog[Category]),_xlpm.wbList,_xlfn._xlws.SORT(_xlfn.UNIQUE(_xlfn._xlws.FILTER(_xlpm.wbRaw,_xlpm.wbRaw&lt;&gt;""))),_xlpm.cubeSet,CUBESET("ThisWorkbookDataModel","[Fact_JobDetail].[_Category].Members"),_xlpm.setCnt,CUBESETCOUNT(_xlpm.cubeSet),_xlpm.dmList,_xlfn.MAP(_xlfn.SEQUENCE(_xlpm.setCnt),_xlfn.LAMBDA(_xlpm.i,CUBERANKEDMEMBER("ThisWorkbookDataModel",_xlpm.cubeSet,_xlpm.i))),_xlpm.fullList,_xlfn._xlws.SORT(_xlfn.UNIQUE(_xlfn._xlws.FILTER(_xlfn.VSTACK(_xlpm.wbList,_xlpm.dmList),_xlfn.VSTACK(_xlpm.wbList,_xlpm.dmList)&lt;&gt;"All"))),_xlpm.idx,ROW()-ROW(tblBudget[[#Headers],[Category]]),IFERROR(INDEX(_xlpm.fullList,_xlpm.idx),""))</f>
        <v/>
      </c>
      <c r="C55" s="108">
        <f ca="1">SUMIFS(tblBudetLog[Budget Amount],tblBudetLog[Category],tblBudget[[#This Row],[Category]],tblBudetLog[Budget Type],"Original Budget",tblBudetLog[Budget Status],"Approved")</f>
        <v>0</v>
      </c>
      <c r="D55" s="109">
        <f ca="1">SUMIFS(tblBudetLog[Budget Amount],tblBudetLog[Category],tblBudget[[#This Row],[Category]],tblBudetLog[Budget Type],"Budget Adjustment")</f>
        <v>0</v>
      </c>
      <c r="E55" s="110">
        <f ca="1">tblBudget[[#This Row],[Original Budget]]+tblBudget[[#This Row],[Approved Changes]]</f>
        <v>0</v>
      </c>
      <c r="F55" s="113">
        <f ca="1">tblBudget[[#This Row],[Revised Budget]]/$B$5</f>
        <v>0</v>
      </c>
      <c r="G55" s="109" cm="1">
        <f t="array" aca="1" ref="G55" ca="1">SUMPRODUCT((tblForecastLog[Category]=tblBudget[[#This Row],[Category]])*ISNUMBER(MATCH(tblForecastLog[Forecasted Cost Type],{"Actual Cost","Purchase Order","Subcontract","Subcontract CO #1","Subcontract CO #2","Subcontract CO #3","Subcontract CO #4","Subcontract CO #5","Subcontract CO #6","Subcontract CO #7","Subcontract CO #8","Subcontract CO #9","Subcontract CO #10"},0))*(tblForecastLog[Forecasted Cost Status]="Accepted")*tblForecastLog[Forecasted Cost Amount])</f>
        <v>0</v>
      </c>
      <c r="H55" s="109" cm="1">
        <f t="array" aca="1" ref="H55" ca="1">SUMPRODUCT((tblForecastLog[Category]=tblBudget[[#This Row],[Category]])*ISNUMBER(MATCH(tblForecastLog[Forecasted Cost Type],{"Initial Estimate","Revised Estimate"},0))*ISNUMBER(MATCH(tblForecastLog[Forecasted Cost Status],{"Accepted","Pending"},0))*tblForecastLog[Forecasted Cost Amount])</f>
        <v>0</v>
      </c>
      <c r="I55" s="114">
        <f ca="1">tblBudget[[#This Row],[Committed Cost]]+tblBudget[[#This Row],[Estimated Costs]]</f>
        <v>0</v>
      </c>
      <c r="J55" s="115">
        <f ca="1">tblBudget[[#This Row],[Forecasted Final Cost]]/$B$5</f>
        <v>0</v>
      </c>
      <c r="K55" s="116">
        <f ca="1">tblBudget[[#This Row],[Revised Budget]]-tblBudget[[#This Row],[Forecasted Final Cost]]</f>
        <v>0</v>
      </c>
      <c r="L55" s="108">
        <f t="shared" ca="1" si="1"/>
        <v>0</v>
      </c>
      <c r="M55" s="117"/>
    </row>
    <row r="56" spans="2:13" ht="21.75" customHeight="1" x14ac:dyDescent="0.6">
      <c r="B56" s="107" t="str" cm="1">
        <f t="array" aca="1" ref="B56" ca="1">_xlfn.LET(_xlpm.trig,RAND()*0,_xlpm.wbRaw,_xlfn.VSTACK(tblForecastLog[Category],tblBudetLog[Category]),_xlpm.wbList,_xlfn._xlws.SORT(_xlfn.UNIQUE(_xlfn._xlws.FILTER(_xlpm.wbRaw,_xlpm.wbRaw&lt;&gt;""))),_xlpm.cubeSet,CUBESET("ThisWorkbookDataModel","[Fact_JobDetail].[_Category].Members"),_xlpm.setCnt,CUBESETCOUNT(_xlpm.cubeSet),_xlpm.dmList,_xlfn.MAP(_xlfn.SEQUENCE(_xlpm.setCnt),_xlfn.LAMBDA(_xlpm.i,CUBERANKEDMEMBER("ThisWorkbookDataModel",_xlpm.cubeSet,_xlpm.i))),_xlpm.fullList,_xlfn._xlws.SORT(_xlfn.UNIQUE(_xlfn._xlws.FILTER(_xlfn.VSTACK(_xlpm.wbList,_xlpm.dmList),_xlfn.VSTACK(_xlpm.wbList,_xlpm.dmList)&lt;&gt;"All"))),_xlpm.idx,ROW()-ROW(tblBudget[[#Headers],[Category]]),IFERROR(INDEX(_xlpm.fullList,_xlpm.idx),""))</f>
        <v/>
      </c>
      <c r="C56" s="108">
        <f ca="1">SUMIFS(tblBudetLog[Budget Amount],tblBudetLog[Category],tblBudget[[#This Row],[Category]],tblBudetLog[Budget Type],"Original Budget",tblBudetLog[Budget Status],"Approved")</f>
        <v>0</v>
      </c>
      <c r="D56" s="109">
        <f ca="1">SUMIFS(tblBudetLog[Budget Amount],tblBudetLog[Category],tblBudget[[#This Row],[Category]],tblBudetLog[Budget Type],"Budget Adjustment")</f>
        <v>0</v>
      </c>
      <c r="E56" s="110">
        <f ca="1">tblBudget[[#This Row],[Original Budget]]+tblBudget[[#This Row],[Approved Changes]]</f>
        <v>0</v>
      </c>
      <c r="F56" s="113">
        <f ca="1">tblBudget[[#This Row],[Revised Budget]]/$B$5</f>
        <v>0</v>
      </c>
      <c r="G56" s="109" cm="1">
        <f t="array" aca="1" ref="G56" ca="1">SUMPRODUCT((tblForecastLog[Category]=tblBudget[[#This Row],[Category]])*ISNUMBER(MATCH(tblForecastLog[Forecasted Cost Type],{"Actual Cost","Purchase Order","Subcontract","Subcontract CO #1","Subcontract CO #2","Subcontract CO #3","Subcontract CO #4","Subcontract CO #5","Subcontract CO #6","Subcontract CO #7","Subcontract CO #8","Subcontract CO #9","Subcontract CO #10"},0))*(tblForecastLog[Forecasted Cost Status]="Accepted")*tblForecastLog[Forecasted Cost Amount])</f>
        <v>0</v>
      </c>
      <c r="H56" s="109" cm="1">
        <f t="array" aca="1" ref="H56" ca="1">SUMPRODUCT((tblForecastLog[Category]=tblBudget[[#This Row],[Category]])*ISNUMBER(MATCH(tblForecastLog[Forecasted Cost Type],{"Initial Estimate","Revised Estimate"},0))*ISNUMBER(MATCH(tblForecastLog[Forecasted Cost Status],{"Accepted","Pending"},0))*tblForecastLog[Forecasted Cost Amount])</f>
        <v>0</v>
      </c>
      <c r="I56" s="114">
        <f ca="1">tblBudget[[#This Row],[Committed Cost]]+tblBudget[[#This Row],[Estimated Costs]]</f>
        <v>0</v>
      </c>
      <c r="J56" s="115">
        <f ca="1">tblBudget[[#This Row],[Forecasted Final Cost]]/$B$5</f>
        <v>0</v>
      </c>
      <c r="K56" s="116">
        <f ca="1">tblBudget[[#This Row],[Revised Budget]]-tblBudget[[#This Row],[Forecasted Final Cost]]</f>
        <v>0</v>
      </c>
      <c r="L56" s="108">
        <f t="shared" ca="1" si="1"/>
        <v>0</v>
      </c>
      <c r="M56" s="117"/>
    </row>
    <row r="57" spans="2:13" ht="21.75" customHeight="1" x14ac:dyDescent="0.6">
      <c r="B57" s="107" t="str" cm="1">
        <f t="array" aca="1" ref="B57" ca="1">_xlfn.LET(_xlpm.trig,RAND()*0,_xlpm.wbRaw,_xlfn.VSTACK(tblForecastLog[Category],tblBudetLog[Category]),_xlpm.wbList,_xlfn._xlws.SORT(_xlfn.UNIQUE(_xlfn._xlws.FILTER(_xlpm.wbRaw,_xlpm.wbRaw&lt;&gt;""))),_xlpm.cubeSet,CUBESET("ThisWorkbookDataModel","[Fact_JobDetail].[_Category].Members"),_xlpm.setCnt,CUBESETCOUNT(_xlpm.cubeSet),_xlpm.dmList,_xlfn.MAP(_xlfn.SEQUENCE(_xlpm.setCnt),_xlfn.LAMBDA(_xlpm.i,CUBERANKEDMEMBER("ThisWorkbookDataModel",_xlpm.cubeSet,_xlpm.i))),_xlpm.fullList,_xlfn._xlws.SORT(_xlfn.UNIQUE(_xlfn._xlws.FILTER(_xlfn.VSTACK(_xlpm.wbList,_xlpm.dmList),_xlfn.VSTACK(_xlpm.wbList,_xlpm.dmList)&lt;&gt;"All"))),_xlpm.idx,ROW()-ROW(tblBudget[[#Headers],[Category]]),IFERROR(INDEX(_xlpm.fullList,_xlpm.idx),""))</f>
        <v/>
      </c>
      <c r="C57" s="108">
        <f ca="1">SUMIFS(tblBudetLog[Budget Amount],tblBudetLog[Category],tblBudget[[#This Row],[Category]],tblBudetLog[Budget Type],"Original Budget",tblBudetLog[Budget Status],"Approved")</f>
        <v>0</v>
      </c>
      <c r="D57" s="109">
        <f ca="1">SUMIFS(tblBudetLog[Budget Amount],tblBudetLog[Category],tblBudget[[#This Row],[Category]],tblBudetLog[Budget Type],"Budget Adjustment")</f>
        <v>0</v>
      </c>
      <c r="E57" s="110">
        <f ca="1">tblBudget[[#This Row],[Original Budget]]+tblBudget[[#This Row],[Approved Changes]]</f>
        <v>0</v>
      </c>
      <c r="F57" s="113">
        <f ca="1">tblBudget[[#This Row],[Revised Budget]]/$B$5</f>
        <v>0</v>
      </c>
      <c r="G57" s="109" cm="1">
        <f t="array" aca="1" ref="G57" ca="1">SUMPRODUCT((tblForecastLog[Category]=tblBudget[[#This Row],[Category]])*ISNUMBER(MATCH(tblForecastLog[Forecasted Cost Type],{"Actual Cost","Purchase Order","Subcontract","Subcontract CO #1","Subcontract CO #2","Subcontract CO #3","Subcontract CO #4","Subcontract CO #5","Subcontract CO #6","Subcontract CO #7","Subcontract CO #8","Subcontract CO #9","Subcontract CO #10"},0))*(tblForecastLog[Forecasted Cost Status]="Accepted")*tblForecastLog[Forecasted Cost Amount])</f>
        <v>0</v>
      </c>
      <c r="H57" s="109" cm="1">
        <f t="array" aca="1" ref="H57" ca="1">SUMPRODUCT((tblForecastLog[Category]=tblBudget[[#This Row],[Category]])*ISNUMBER(MATCH(tblForecastLog[Forecasted Cost Type],{"Initial Estimate","Revised Estimate"},0))*ISNUMBER(MATCH(tblForecastLog[Forecasted Cost Status],{"Accepted","Pending"},0))*tblForecastLog[Forecasted Cost Amount])</f>
        <v>0</v>
      </c>
      <c r="I57" s="114">
        <f ca="1">tblBudget[[#This Row],[Committed Cost]]+tblBudget[[#This Row],[Estimated Costs]]</f>
        <v>0</v>
      </c>
      <c r="J57" s="115">
        <f ca="1">tblBudget[[#This Row],[Forecasted Final Cost]]/$B$5</f>
        <v>0</v>
      </c>
      <c r="K57" s="116">
        <f ca="1">tblBudget[[#This Row],[Revised Budget]]-tblBudget[[#This Row],[Forecasted Final Cost]]</f>
        <v>0</v>
      </c>
      <c r="L57" s="108">
        <f t="shared" ca="1" si="1"/>
        <v>0</v>
      </c>
      <c r="M57" s="117"/>
    </row>
    <row r="58" spans="2:13" ht="21.75" customHeight="1" x14ac:dyDescent="0.6">
      <c r="B58" s="107" t="str" cm="1">
        <f t="array" aca="1" ref="B58" ca="1">_xlfn.LET(_xlpm.trig,RAND()*0,_xlpm.wbRaw,_xlfn.VSTACK(tblForecastLog[Category],tblBudetLog[Category]),_xlpm.wbList,_xlfn._xlws.SORT(_xlfn.UNIQUE(_xlfn._xlws.FILTER(_xlpm.wbRaw,_xlpm.wbRaw&lt;&gt;""))),_xlpm.cubeSet,CUBESET("ThisWorkbookDataModel","[Fact_JobDetail].[_Category].Members"),_xlpm.setCnt,CUBESETCOUNT(_xlpm.cubeSet),_xlpm.dmList,_xlfn.MAP(_xlfn.SEQUENCE(_xlpm.setCnt),_xlfn.LAMBDA(_xlpm.i,CUBERANKEDMEMBER("ThisWorkbookDataModel",_xlpm.cubeSet,_xlpm.i))),_xlpm.fullList,_xlfn._xlws.SORT(_xlfn.UNIQUE(_xlfn._xlws.FILTER(_xlfn.VSTACK(_xlpm.wbList,_xlpm.dmList),_xlfn.VSTACK(_xlpm.wbList,_xlpm.dmList)&lt;&gt;"All"))),_xlpm.idx,ROW()-ROW(tblBudget[[#Headers],[Category]]),IFERROR(INDEX(_xlpm.fullList,_xlpm.idx),""))</f>
        <v/>
      </c>
      <c r="C58" s="108">
        <f ca="1">SUMIFS(tblBudetLog[Budget Amount],tblBudetLog[Category],tblBudget[[#This Row],[Category]],tblBudetLog[Budget Type],"Original Budget",tblBudetLog[Budget Status],"Approved")</f>
        <v>0</v>
      </c>
      <c r="D58" s="109">
        <f ca="1">SUMIFS(tblBudetLog[Budget Amount],tblBudetLog[Category],tblBudget[[#This Row],[Category]],tblBudetLog[Budget Type],"Budget Adjustment")</f>
        <v>0</v>
      </c>
      <c r="E58" s="110">
        <f ca="1">tblBudget[[#This Row],[Original Budget]]+tblBudget[[#This Row],[Approved Changes]]</f>
        <v>0</v>
      </c>
      <c r="F58" s="113">
        <f ca="1">tblBudget[[#This Row],[Revised Budget]]/$B$5</f>
        <v>0</v>
      </c>
      <c r="G58" s="109" cm="1">
        <f t="array" aca="1" ref="G58" ca="1">SUMPRODUCT((tblForecastLog[Category]=tblBudget[[#This Row],[Category]])*ISNUMBER(MATCH(tblForecastLog[Forecasted Cost Type],{"Actual Cost","Purchase Order","Subcontract","Subcontract CO #1","Subcontract CO #2","Subcontract CO #3","Subcontract CO #4","Subcontract CO #5","Subcontract CO #6","Subcontract CO #7","Subcontract CO #8","Subcontract CO #9","Subcontract CO #10"},0))*(tblForecastLog[Forecasted Cost Status]="Accepted")*tblForecastLog[Forecasted Cost Amount])</f>
        <v>0</v>
      </c>
      <c r="H58" s="109" cm="1">
        <f t="array" aca="1" ref="H58" ca="1">SUMPRODUCT((tblForecastLog[Category]=tblBudget[[#This Row],[Category]])*ISNUMBER(MATCH(tblForecastLog[Forecasted Cost Type],{"Initial Estimate","Revised Estimate"},0))*ISNUMBER(MATCH(tblForecastLog[Forecasted Cost Status],{"Accepted","Pending"},0))*tblForecastLog[Forecasted Cost Amount])</f>
        <v>0</v>
      </c>
      <c r="I58" s="114">
        <f ca="1">tblBudget[[#This Row],[Committed Cost]]+tblBudget[[#This Row],[Estimated Costs]]</f>
        <v>0</v>
      </c>
      <c r="J58" s="115">
        <f ca="1">tblBudget[[#This Row],[Forecasted Final Cost]]/$B$5</f>
        <v>0</v>
      </c>
      <c r="K58" s="116">
        <f ca="1">tblBudget[[#This Row],[Revised Budget]]-tblBudget[[#This Row],[Forecasted Final Cost]]</f>
        <v>0</v>
      </c>
      <c r="L58" s="108">
        <f t="shared" ca="1" si="1"/>
        <v>0</v>
      </c>
      <c r="M58" s="117"/>
    </row>
    <row r="59" spans="2:13" ht="21.75" customHeight="1" x14ac:dyDescent="0.6">
      <c r="B59" s="107" t="str" cm="1">
        <f t="array" aca="1" ref="B59" ca="1">_xlfn.LET(_xlpm.trig,RAND()*0,_xlpm.wbRaw,_xlfn.VSTACK(tblForecastLog[Category],tblBudetLog[Category]),_xlpm.wbList,_xlfn._xlws.SORT(_xlfn.UNIQUE(_xlfn._xlws.FILTER(_xlpm.wbRaw,_xlpm.wbRaw&lt;&gt;""))),_xlpm.cubeSet,CUBESET("ThisWorkbookDataModel","[Fact_JobDetail].[_Category].Members"),_xlpm.setCnt,CUBESETCOUNT(_xlpm.cubeSet),_xlpm.dmList,_xlfn.MAP(_xlfn.SEQUENCE(_xlpm.setCnt),_xlfn.LAMBDA(_xlpm.i,CUBERANKEDMEMBER("ThisWorkbookDataModel",_xlpm.cubeSet,_xlpm.i))),_xlpm.fullList,_xlfn._xlws.SORT(_xlfn.UNIQUE(_xlfn._xlws.FILTER(_xlfn.VSTACK(_xlpm.wbList,_xlpm.dmList),_xlfn.VSTACK(_xlpm.wbList,_xlpm.dmList)&lt;&gt;"All"))),_xlpm.idx,ROW()-ROW(tblBudget[[#Headers],[Category]]),IFERROR(INDEX(_xlpm.fullList,_xlpm.idx),""))</f>
        <v/>
      </c>
      <c r="C59" s="108">
        <f ca="1">SUMIFS(tblBudetLog[Budget Amount],tblBudetLog[Category],tblBudget[[#This Row],[Category]],tblBudetLog[Budget Type],"Original Budget",tblBudetLog[Budget Status],"Approved")</f>
        <v>0</v>
      </c>
      <c r="D59" s="109">
        <f ca="1">SUMIFS(tblBudetLog[Budget Amount],tblBudetLog[Category],tblBudget[[#This Row],[Category]],tblBudetLog[Budget Type],"Budget Adjustment")</f>
        <v>0</v>
      </c>
      <c r="E59" s="110">
        <f ca="1">tblBudget[[#This Row],[Original Budget]]+tblBudget[[#This Row],[Approved Changes]]</f>
        <v>0</v>
      </c>
      <c r="F59" s="113">
        <f ca="1">tblBudget[[#This Row],[Revised Budget]]/$B$5</f>
        <v>0</v>
      </c>
      <c r="G59" s="109" cm="1">
        <f t="array" aca="1" ref="G59" ca="1">SUMPRODUCT((tblForecastLog[Category]=tblBudget[[#This Row],[Category]])*ISNUMBER(MATCH(tblForecastLog[Forecasted Cost Type],{"Actual Cost","Purchase Order","Subcontract","Subcontract CO #1","Subcontract CO #2","Subcontract CO #3","Subcontract CO #4","Subcontract CO #5","Subcontract CO #6","Subcontract CO #7","Subcontract CO #8","Subcontract CO #9","Subcontract CO #10"},0))*(tblForecastLog[Forecasted Cost Status]="Accepted")*tblForecastLog[Forecasted Cost Amount])</f>
        <v>0</v>
      </c>
      <c r="H59" s="109" cm="1">
        <f t="array" aca="1" ref="H59" ca="1">SUMPRODUCT((tblForecastLog[Category]=tblBudget[[#This Row],[Category]])*ISNUMBER(MATCH(tblForecastLog[Forecasted Cost Type],{"Initial Estimate","Revised Estimate"},0))*ISNUMBER(MATCH(tblForecastLog[Forecasted Cost Status],{"Accepted","Pending"},0))*tblForecastLog[Forecasted Cost Amount])</f>
        <v>0</v>
      </c>
      <c r="I59" s="114">
        <f ca="1">tblBudget[[#This Row],[Committed Cost]]+tblBudget[[#This Row],[Estimated Costs]]</f>
        <v>0</v>
      </c>
      <c r="J59" s="115">
        <f ca="1">tblBudget[[#This Row],[Forecasted Final Cost]]/$B$5</f>
        <v>0</v>
      </c>
      <c r="K59" s="116">
        <f ca="1">tblBudget[[#This Row],[Revised Budget]]-tblBudget[[#This Row],[Forecasted Final Cost]]</f>
        <v>0</v>
      </c>
      <c r="L59" s="108">
        <f t="shared" ca="1" si="1"/>
        <v>0</v>
      </c>
      <c r="M59" s="117"/>
    </row>
    <row r="60" spans="2:13" ht="21.75" customHeight="1" x14ac:dyDescent="0.6">
      <c r="B60" s="107" t="str" cm="1">
        <f t="array" aca="1" ref="B60" ca="1">_xlfn.LET(_xlpm.trig,RAND()*0,_xlpm.wbRaw,_xlfn.VSTACK(tblForecastLog[Category],tblBudetLog[Category]),_xlpm.wbList,_xlfn._xlws.SORT(_xlfn.UNIQUE(_xlfn._xlws.FILTER(_xlpm.wbRaw,_xlpm.wbRaw&lt;&gt;""))),_xlpm.cubeSet,CUBESET("ThisWorkbookDataModel","[Fact_JobDetail].[_Category].Members"),_xlpm.setCnt,CUBESETCOUNT(_xlpm.cubeSet),_xlpm.dmList,_xlfn.MAP(_xlfn.SEQUENCE(_xlpm.setCnt),_xlfn.LAMBDA(_xlpm.i,CUBERANKEDMEMBER("ThisWorkbookDataModel",_xlpm.cubeSet,_xlpm.i))),_xlpm.fullList,_xlfn._xlws.SORT(_xlfn.UNIQUE(_xlfn._xlws.FILTER(_xlfn.VSTACK(_xlpm.wbList,_xlpm.dmList),_xlfn.VSTACK(_xlpm.wbList,_xlpm.dmList)&lt;&gt;"All"))),_xlpm.idx,ROW()-ROW(tblBudget[[#Headers],[Category]]),IFERROR(INDEX(_xlpm.fullList,_xlpm.idx),""))</f>
        <v/>
      </c>
      <c r="C60" s="108">
        <f ca="1">SUMIFS(tblBudetLog[Budget Amount],tblBudetLog[Category],tblBudget[[#This Row],[Category]],tblBudetLog[Budget Type],"Original Budget",tblBudetLog[Budget Status],"Approved")</f>
        <v>0</v>
      </c>
      <c r="D60" s="109">
        <f ca="1">SUMIFS(tblBudetLog[Budget Amount],tblBudetLog[Category],tblBudget[[#This Row],[Category]],tblBudetLog[Budget Type],"Budget Adjustment")</f>
        <v>0</v>
      </c>
      <c r="E60" s="110">
        <f ca="1">tblBudget[[#This Row],[Original Budget]]+tblBudget[[#This Row],[Approved Changes]]</f>
        <v>0</v>
      </c>
      <c r="F60" s="113">
        <f ca="1">tblBudget[[#This Row],[Revised Budget]]/$B$5</f>
        <v>0</v>
      </c>
      <c r="G60" s="109" cm="1">
        <f t="array" aca="1" ref="G60" ca="1">SUMPRODUCT((tblForecastLog[Category]=tblBudget[[#This Row],[Category]])*ISNUMBER(MATCH(tblForecastLog[Forecasted Cost Type],{"Actual Cost","Purchase Order","Subcontract","Subcontract CO #1","Subcontract CO #2","Subcontract CO #3","Subcontract CO #4","Subcontract CO #5","Subcontract CO #6","Subcontract CO #7","Subcontract CO #8","Subcontract CO #9","Subcontract CO #10"},0))*(tblForecastLog[Forecasted Cost Status]="Accepted")*tblForecastLog[Forecasted Cost Amount])</f>
        <v>0</v>
      </c>
      <c r="H60" s="109" cm="1">
        <f t="array" aca="1" ref="H60" ca="1">SUMPRODUCT((tblForecastLog[Category]=tblBudget[[#This Row],[Category]])*ISNUMBER(MATCH(tblForecastLog[Forecasted Cost Type],{"Initial Estimate","Revised Estimate"},0))*ISNUMBER(MATCH(tblForecastLog[Forecasted Cost Status],{"Accepted","Pending"},0))*tblForecastLog[Forecasted Cost Amount])</f>
        <v>0</v>
      </c>
      <c r="I60" s="114">
        <f ca="1">tblBudget[[#This Row],[Committed Cost]]+tblBudget[[#This Row],[Estimated Costs]]</f>
        <v>0</v>
      </c>
      <c r="J60" s="115">
        <f ca="1">tblBudget[[#This Row],[Forecasted Final Cost]]/$B$5</f>
        <v>0</v>
      </c>
      <c r="K60" s="116">
        <f ca="1">tblBudget[[#This Row],[Revised Budget]]-tblBudget[[#This Row],[Forecasted Final Cost]]</f>
        <v>0</v>
      </c>
      <c r="L60" s="108">
        <f t="shared" ca="1" si="1"/>
        <v>0</v>
      </c>
      <c r="M60" s="117"/>
    </row>
    <row r="61" spans="2:13" ht="21.75" customHeight="1" x14ac:dyDescent="0.6">
      <c r="B61" s="107" t="str" cm="1">
        <f t="array" aca="1" ref="B61" ca="1">_xlfn.LET(_xlpm.trig,RAND()*0,_xlpm.wbRaw,_xlfn.VSTACK(tblForecastLog[Category],tblBudetLog[Category]),_xlpm.wbList,_xlfn._xlws.SORT(_xlfn.UNIQUE(_xlfn._xlws.FILTER(_xlpm.wbRaw,_xlpm.wbRaw&lt;&gt;""))),_xlpm.cubeSet,CUBESET("ThisWorkbookDataModel","[Fact_JobDetail].[_Category].Members"),_xlpm.setCnt,CUBESETCOUNT(_xlpm.cubeSet),_xlpm.dmList,_xlfn.MAP(_xlfn.SEQUENCE(_xlpm.setCnt),_xlfn.LAMBDA(_xlpm.i,CUBERANKEDMEMBER("ThisWorkbookDataModel",_xlpm.cubeSet,_xlpm.i))),_xlpm.fullList,_xlfn._xlws.SORT(_xlfn.UNIQUE(_xlfn._xlws.FILTER(_xlfn.VSTACK(_xlpm.wbList,_xlpm.dmList),_xlfn.VSTACK(_xlpm.wbList,_xlpm.dmList)&lt;&gt;"All"))),_xlpm.idx,ROW()-ROW(tblBudget[[#Headers],[Category]]),IFERROR(INDEX(_xlpm.fullList,_xlpm.idx),""))</f>
        <v/>
      </c>
      <c r="C61" s="108">
        <f ca="1">SUMIFS(tblBudetLog[Budget Amount],tblBudetLog[Category],tblBudget[[#This Row],[Category]],tblBudetLog[Budget Type],"Original Budget",tblBudetLog[Budget Status],"Approved")</f>
        <v>0</v>
      </c>
      <c r="D61" s="109">
        <f ca="1">SUMIFS(tblBudetLog[Budget Amount],tblBudetLog[Category],tblBudget[[#This Row],[Category]],tblBudetLog[Budget Type],"Budget Adjustment")</f>
        <v>0</v>
      </c>
      <c r="E61" s="110">
        <f ca="1">tblBudget[[#This Row],[Original Budget]]+tblBudget[[#This Row],[Approved Changes]]</f>
        <v>0</v>
      </c>
      <c r="F61" s="113">
        <f ca="1">tblBudget[[#This Row],[Revised Budget]]/$B$5</f>
        <v>0</v>
      </c>
      <c r="G61" s="109" cm="1">
        <f t="array" aca="1" ref="G61" ca="1">SUMPRODUCT((tblForecastLog[Category]=tblBudget[[#This Row],[Category]])*ISNUMBER(MATCH(tblForecastLog[Forecasted Cost Type],{"Actual Cost","Purchase Order","Subcontract","Subcontract CO #1","Subcontract CO #2","Subcontract CO #3","Subcontract CO #4","Subcontract CO #5","Subcontract CO #6","Subcontract CO #7","Subcontract CO #8","Subcontract CO #9","Subcontract CO #10"},0))*(tblForecastLog[Forecasted Cost Status]="Accepted")*tblForecastLog[Forecasted Cost Amount])</f>
        <v>0</v>
      </c>
      <c r="H61" s="109" cm="1">
        <f t="array" aca="1" ref="H61" ca="1">SUMPRODUCT((tblForecastLog[Category]=tblBudget[[#This Row],[Category]])*ISNUMBER(MATCH(tblForecastLog[Forecasted Cost Type],{"Initial Estimate","Revised Estimate"},0))*ISNUMBER(MATCH(tblForecastLog[Forecasted Cost Status],{"Accepted","Pending"},0))*tblForecastLog[Forecasted Cost Amount])</f>
        <v>0</v>
      </c>
      <c r="I61" s="114">
        <f ca="1">tblBudget[[#This Row],[Committed Cost]]+tblBudget[[#This Row],[Estimated Costs]]</f>
        <v>0</v>
      </c>
      <c r="J61" s="115">
        <f ca="1">tblBudget[[#This Row],[Forecasted Final Cost]]/$B$5</f>
        <v>0</v>
      </c>
      <c r="K61" s="116">
        <f ca="1">tblBudget[[#This Row],[Revised Budget]]-tblBudget[[#This Row],[Forecasted Final Cost]]</f>
        <v>0</v>
      </c>
      <c r="L61" s="108">
        <f t="shared" ca="1" si="1"/>
        <v>0</v>
      </c>
      <c r="M61" s="117"/>
    </row>
    <row r="62" spans="2:13" ht="21.75" customHeight="1" x14ac:dyDescent="0.6">
      <c r="B62" s="107" t="str" cm="1">
        <f t="array" aca="1" ref="B62" ca="1">_xlfn.LET(_xlpm.trig,RAND()*0,_xlpm.wbRaw,_xlfn.VSTACK(tblForecastLog[Category],tblBudetLog[Category]),_xlpm.wbList,_xlfn._xlws.SORT(_xlfn.UNIQUE(_xlfn._xlws.FILTER(_xlpm.wbRaw,_xlpm.wbRaw&lt;&gt;""))),_xlpm.cubeSet,CUBESET("ThisWorkbookDataModel","[Fact_JobDetail].[_Category].Members"),_xlpm.setCnt,CUBESETCOUNT(_xlpm.cubeSet),_xlpm.dmList,_xlfn.MAP(_xlfn.SEQUENCE(_xlpm.setCnt),_xlfn.LAMBDA(_xlpm.i,CUBERANKEDMEMBER("ThisWorkbookDataModel",_xlpm.cubeSet,_xlpm.i))),_xlpm.fullList,_xlfn._xlws.SORT(_xlfn.UNIQUE(_xlfn._xlws.FILTER(_xlfn.VSTACK(_xlpm.wbList,_xlpm.dmList),_xlfn.VSTACK(_xlpm.wbList,_xlpm.dmList)&lt;&gt;"All"))),_xlpm.idx,ROW()-ROW(tblBudget[[#Headers],[Category]]),IFERROR(INDEX(_xlpm.fullList,_xlpm.idx),""))</f>
        <v/>
      </c>
      <c r="C62" s="108">
        <f ca="1">SUMIFS(tblBudetLog[Budget Amount],tblBudetLog[Category],tblBudget[[#This Row],[Category]],tblBudetLog[Budget Type],"Original Budget",tblBudetLog[Budget Status],"Approved")</f>
        <v>0</v>
      </c>
      <c r="D62" s="109">
        <f ca="1">SUMIFS(tblBudetLog[Budget Amount],tblBudetLog[Category],tblBudget[[#This Row],[Category]],tblBudetLog[Budget Type],"Budget Adjustment")</f>
        <v>0</v>
      </c>
      <c r="E62" s="110">
        <f ca="1">tblBudget[[#This Row],[Original Budget]]+tblBudget[[#This Row],[Approved Changes]]</f>
        <v>0</v>
      </c>
      <c r="F62" s="113">
        <f ca="1">tblBudget[[#This Row],[Revised Budget]]/$B$5</f>
        <v>0</v>
      </c>
      <c r="G62" s="109" cm="1">
        <f t="array" aca="1" ref="G62" ca="1">SUMPRODUCT((tblForecastLog[Category]=tblBudget[[#This Row],[Category]])*ISNUMBER(MATCH(tblForecastLog[Forecasted Cost Type],{"Actual Cost","Purchase Order","Subcontract","Subcontract CO #1","Subcontract CO #2","Subcontract CO #3","Subcontract CO #4","Subcontract CO #5","Subcontract CO #6","Subcontract CO #7","Subcontract CO #8","Subcontract CO #9","Subcontract CO #10"},0))*(tblForecastLog[Forecasted Cost Status]="Accepted")*tblForecastLog[Forecasted Cost Amount])</f>
        <v>0</v>
      </c>
      <c r="H62" s="109" cm="1">
        <f t="array" aca="1" ref="H62" ca="1">SUMPRODUCT((tblForecastLog[Category]=tblBudget[[#This Row],[Category]])*ISNUMBER(MATCH(tblForecastLog[Forecasted Cost Type],{"Initial Estimate","Revised Estimate"},0))*ISNUMBER(MATCH(tblForecastLog[Forecasted Cost Status],{"Accepted","Pending"},0))*tblForecastLog[Forecasted Cost Amount])</f>
        <v>0</v>
      </c>
      <c r="I62" s="114">
        <f ca="1">tblBudget[[#This Row],[Committed Cost]]+tblBudget[[#This Row],[Estimated Costs]]</f>
        <v>0</v>
      </c>
      <c r="J62" s="115">
        <f ca="1">tblBudget[[#This Row],[Forecasted Final Cost]]/$B$5</f>
        <v>0</v>
      </c>
      <c r="K62" s="116">
        <f ca="1">tblBudget[[#This Row],[Revised Budget]]-tblBudget[[#This Row],[Forecasted Final Cost]]</f>
        <v>0</v>
      </c>
      <c r="L62" s="108">
        <f t="shared" ca="1" si="1"/>
        <v>0</v>
      </c>
      <c r="M62" s="117"/>
    </row>
    <row r="63" spans="2:13" ht="21.75" customHeight="1" x14ac:dyDescent="0.6">
      <c r="B63" s="107" t="str" cm="1">
        <f t="array" aca="1" ref="B63" ca="1">_xlfn.LET(_xlpm.trig,RAND()*0,_xlpm.wbRaw,_xlfn.VSTACK(tblForecastLog[Category],tblBudetLog[Category]),_xlpm.wbList,_xlfn._xlws.SORT(_xlfn.UNIQUE(_xlfn._xlws.FILTER(_xlpm.wbRaw,_xlpm.wbRaw&lt;&gt;""))),_xlpm.cubeSet,CUBESET("ThisWorkbookDataModel","[Fact_JobDetail].[_Category].Members"),_xlpm.setCnt,CUBESETCOUNT(_xlpm.cubeSet),_xlpm.dmList,_xlfn.MAP(_xlfn.SEQUENCE(_xlpm.setCnt),_xlfn.LAMBDA(_xlpm.i,CUBERANKEDMEMBER("ThisWorkbookDataModel",_xlpm.cubeSet,_xlpm.i))),_xlpm.fullList,_xlfn._xlws.SORT(_xlfn.UNIQUE(_xlfn._xlws.FILTER(_xlfn.VSTACK(_xlpm.wbList,_xlpm.dmList),_xlfn.VSTACK(_xlpm.wbList,_xlpm.dmList)&lt;&gt;"All"))),_xlpm.idx,ROW()-ROW(tblBudget[[#Headers],[Category]]),IFERROR(INDEX(_xlpm.fullList,_xlpm.idx),""))</f>
        <v/>
      </c>
      <c r="C63" s="108">
        <f ca="1">SUMIFS(tblBudetLog[Budget Amount],tblBudetLog[Category],tblBudget[[#This Row],[Category]],tblBudetLog[Budget Type],"Original Budget",tblBudetLog[Budget Status],"Approved")</f>
        <v>0</v>
      </c>
      <c r="D63" s="109">
        <f ca="1">SUMIFS(tblBudetLog[Budget Amount],tblBudetLog[Category],tblBudget[[#This Row],[Category]],tblBudetLog[Budget Type],"Budget Adjustment")</f>
        <v>0</v>
      </c>
      <c r="E63" s="110">
        <f ca="1">tblBudget[[#This Row],[Original Budget]]+tblBudget[[#This Row],[Approved Changes]]</f>
        <v>0</v>
      </c>
      <c r="F63" s="113">
        <f ca="1">tblBudget[[#This Row],[Revised Budget]]/$B$5</f>
        <v>0</v>
      </c>
      <c r="G63" s="109" cm="1">
        <f t="array" aca="1" ref="G63" ca="1">SUMPRODUCT((tblForecastLog[Category]=tblBudget[[#This Row],[Category]])*ISNUMBER(MATCH(tblForecastLog[Forecasted Cost Type],{"Actual Cost","Purchase Order","Subcontract","Subcontract CO #1","Subcontract CO #2","Subcontract CO #3","Subcontract CO #4","Subcontract CO #5","Subcontract CO #6","Subcontract CO #7","Subcontract CO #8","Subcontract CO #9","Subcontract CO #10"},0))*(tblForecastLog[Forecasted Cost Status]="Accepted")*tblForecastLog[Forecasted Cost Amount])</f>
        <v>0</v>
      </c>
      <c r="H63" s="109" cm="1">
        <f t="array" aca="1" ref="H63" ca="1">SUMPRODUCT((tblForecastLog[Category]=tblBudget[[#This Row],[Category]])*ISNUMBER(MATCH(tblForecastLog[Forecasted Cost Type],{"Initial Estimate","Revised Estimate"},0))*ISNUMBER(MATCH(tblForecastLog[Forecasted Cost Status],{"Accepted","Pending"},0))*tblForecastLog[Forecasted Cost Amount])</f>
        <v>0</v>
      </c>
      <c r="I63" s="114">
        <f ca="1">tblBudget[[#This Row],[Committed Cost]]+tblBudget[[#This Row],[Estimated Costs]]</f>
        <v>0</v>
      </c>
      <c r="J63" s="115">
        <f ca="1">tblBudget[[#This Row],[Forecasted Final Cost]]/$B$5</f>
        <v>0</v>
      </c>
      <c r="K63" s="116">
        <f ca="1">tblBudget[[#This Row],[Revised Budget]]-tblBudget[[#This Row],[Forecasted Final Cost]]</f>
        <v>0</v>
      </c>
      <c r="L63" s="108">
        <f t="shared" ca="1" si="1"/>
        <v>0</v>
      </c>
      <c r="M63" s="117"/>
    </row>
    <row r="64" spans="2:13" ht="21.75" customHeight="1" x14ac:dyDescent="0.6">
      <c r="B64" s="106"/>
      <c r="C64" s="87">
        <f ca="1">SUBTOTAL(109,tblBudget[Original Budget])</f>
        <v>0</v>
      </c>
      <c r="D64" s="88">
        <f ca="1">SUBTOTAL(109,tblBudget[Approved Changes])</f>
        <v>0</v>
      </c>
      <c r="E64" s="87">
        <f ca="1">SUBTOTAL(109,tblBudget[Revised Budget])</f>
        <v>0</v>
      </c>
      <c r="F64" s="112">
        <f ca="1">SUBTOTAL(109,tblBudget[Revised Budget PSF])</f>
        <v>0</v>
      </c>
      <c r="G64" s="88">
        <f ca="1">SUBTOTAL(109,tblBudget[Committed Cost])</f>
        <v>0</v>
      </c>
      <c r="H64" s="88">
        <f ca="1">SUBTOTAL(109,tblBudget[Estimated Costs])</f>
        <v>0</v>
      </c>
      <c r="I64" s="87">
        <f ca="1">SUBTOTAL(109,tblBudget[Forecasted Final Cost])</f>
        <v>0</v>
      </c>
      <c r="J64" s="112">
        <f ca="1">SUBTOTAL(109,tblBudget[Forecasted Cost PSF])</f>
        <v>0</v>
      </c>
      <c r="K64" s="88">
        <f ca="1">SUBTOTAL(109,tblBudget[Forecasted (Over)/Under])</f>
        <v>0</v>
      </c>
      <c r="L64" s="87">
        <f ca="1">SUBTOTAL(109,tblBudget[Invoiced to Date])</f>
        <v>0</v>
      </c>
      <c r="M64" s="90"/>
    </row>
  </sheetData>
  <pageMargins left="0.7" right="0.7" top="0.75" bottom="0.75" header="0.3" footer="0.3"/>
  <pageSetup scale="32" orientation="landscape" useFirstPageNumber="1"/>
  <headerFooter>
    <oddHeader>&amp;L&amp;C&amp;R</oddHeader>
    <oddFooter>&amp;L&amp;C&amp;R</oddFooter>
  </headerFooter>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F32FD-A7E8-79FE-7E93-31E5D3C0AE28}">
  <sheetPr>
    <tabColor rgb="FF7030A0"/>
  </sheetPr>
  <dimension ref="A1:V124"/>
  <sheetViews>
    <sheetView showGridLines="0" topLeftCell="H1" workbookViewId="0">
      <pane ySplit="1" topLeftCell="A21" activePane="bottomLeft" state="frozen"/>
      <selection pane="bottomLeft" activeCell="V2" sqref="V2"/>
    </sheetView>
  </sheetViews>
  <sheetFormatPr defaultColWidth="9.140625" defaultRowHeight="21.75" customHeight="1" x14ac:dyDescent="0.6"/>
  <cols>
    <col min="1" max="1" width="9.140625" style="119" customWidth="1"/>
    <col min="2" max="2" width="18.5703125" style="119" customWidth="1"/>
    <col min="3" max="3" width="32.7109375" style="119" customWidth="1"/>
    <col min="4" max="4" width="9.140625" style="119" customWidth="1"/>
    <col min="5" max="5" width="21" style="119" customWidth="1"/>
    <col min="6" max="6" width="9.140625" style="119" customWidth="1"/>
    <col min="7" max="7" width="17.42578125" style="119" customWidth="1"/>
    <col min="8" max="8" width="56.7109375" style="119" customWidth="1"/>
    <col min="9" max="9" width="9.140625" style="119" customWidth="1"/>
    <col min="10" max="10" width="60.28515625" style="119" customWidth="1"/>
    <col min="11" max="11" width="14.42578125" style="119" customWidth="1"/>
    <col min="12" max="12" width="50.7109375" style="119" customWidth="1"/>
    <col min="13" max="13" width="9.140625" style="119" customWidth="1"/>
    <col min="14" max="14" width="13.7109375" style="119" customWidth="1"/>
    <col min="15" max="15" width="16.85546875" style="119" customWidth="1"/>
    <col min="16" max="17" width="24.42578125" style="119" customWidth="1"/>
    <col min="18" max="18" width="19.140625" style="119" customWidth="1"/>
    <col min="19" max="20" width="25.7109375" style="119" customWidth="1"/>
    <col min="21" max="22" width="9.140625" style="119" customWidth="1"/>
  </cols>
  <sheetData>
    <row r="1" spans="1:22" ht="15" customHeight="1" x14ac:dyDescent="0.6">
      <c r="A1" s="118"/>
      <c r="B1" s="120" t="s">
        <v>398</v>
      </c>
      <c r="C1" s="123" t="s">
        <v>399</v>
      </c>
      <c r="D1" s="118"/>
      <c r="E1" s="136" t="s">
        <v>400</v>
      </c>
      <c r="F1" s="118"/>
      <c r="G1" s="120" t="s">
        <v>401</v>
      </c>
      <c r="H1" s="123" t="s">
        <v>402</v>
      </c>
      <c r="I1" s="118"/>
      <c r="J1" s="120" t="s">
        <v>318</v>
      </c>
      <c r="K1" s="129" t="s">
        <v>403</v>
      </c>
      <c r="L1" s="123" t="s">
        <v>404</v>
      </c>
      <c r="N1" s="133" t="s">
        <v>405</v>
      </c>
      <c r="O1" s="134" t="s">
        <v>406</v>
      </c>
      <c r="P1" s="134" t="s">
        <v>407</v>
      </c>
      <c r="Q1" s="134" t="s">
        <v>408</v>
      </c>
      <c r="R1" s="134" t="s">
        <v>409</v>
      </c>
      <c r="S1" s="134" t="s">
        <v>410</v>
      </c>
      <c r="T1" s="135" t="s">
        <v>411</v>
      </c>
      <c r="V1" s="119" t="s">
        <v>412</v>
      </c>
    </row>
    <row r="2" spans="1:22" ht="15" customHeight="1" x14ac:dyDescent="0.6">
      <c r="A2" s="118"/>
      <c r="B2" s="121" t="s">
        <v>413</v>
      </c>
      <c r="C2" s="124" t="s">
        <v>414</v>
      </c>
      <c r="D2" s="118"/>
      <c r="E2" s="137" t="s">
        <v>415</v>
      </c>
      <c r="F2" s="118"/>
      <c r="G2" s="121" t="s">
        <v>416</v>
      </c>
      <c r="H2" s="124" t="s">
        <v>324</v>
      </c>
      <c r="I2" s="118"/>
      <c r="J2" s="126" t="s">
        <v>336</v>
      </c>
      <c r="K2" s="130" t="s">
        <v>417</v>
      </c>
      <c r="L2" s="124" t="s">
        <v>418</v>
      </c>
      <c r="N2" s="122" t="s">
        <v>419</v>
      </c>
      <c r="O2" s="131" t="s">
        <v>420</v>
      </c>
      <c r="P2" s="131" t="s">
        <v>298</v>
      </c>
      <c r="Q2" s="131" t="s">
        <v>326</v>
      </c>
      <c r="R2" s="131" t="s">
        <v>327</v>
      </c>
      <c r="S2" s="131" t="s">
        <v>371</v>
      </c>
      <c r="T2" s="125" t="s">
        <v>327</v>
      </c>
      <c r="V2" s="119" t="e" cm="1">
        <f t="array" ref="V2">_xlfn.LET(_xlpm.dmSet,CUBESET("ThisWorkbookDataModel","[Fact_JobDetail].[_Vendor].Members"),_xlpm.dmCnt,CUBESETCOUNT(_xlpm.dmSet),_xlpm.dmList,_xlfn.MAP(_xlfn.SEQUENCE(_xlpm.dmCnt),_xlfn.LAMBDA(_xlpm.i,IFERROR(CUBERANKEDMEMBER("ThisWorkbookDataModel",_xlpm.dmSet,_xlpm.i),""))),_xlpm.wbRaw,_xlfn.VSTACK(tblForecastLog[Vendor],_xlpm.dmList),_xlfn._xlws.SORT(_xlfn.UNIQUE(_xlfn._xlws.FILTER(_xlpm.wbRaw,_xlpm.wbRaw&lt;&gt;""))))</f>
        <v>#N/A</v>
      </c>
    </row>
    <row r="3" spans="1:22" ht="15" customHeight="1" x14ac:dyDescent="0.6">
      <c r="A3" s="118"/>
      <c r="B3" s="121" t="s">
        <v>421</v>
      </c>
      <c r="C3" s="124" t="s">
        <v>422</v>
      </c>
      <c r="D3" s="118"/>
      <c r="E3" s="137" t="s">
        <v>278</v>
      </c>
      <c r="F3" s="118"/>
      <c r="G3" s="121" t="s">
        <v>423</v>
      </c>
      <c r="H3" s="124" t="s">
        <v>424</v>
      </c>
      <c r="I3" s="118"/>
      <c r="J3" s="126" t="s">
        <v>425</v>
      </c>
      <c r="K3" s="130" t="s">
        <v>426</v>
      </c>
      <c r="L3" s="124" t="s">
        <v>427</v>
      </c>
      <c r="N3" s="122" t="s">
        <v>282</v>
      </c>
      <c r="O3" s="131" t="s">
        <v>428</v>
      </c>
      <c r="P3" s="131" t="s">
        <v>429</v>
      </c>
      <c r="Q3" s="131" t="s">
        <v>430</v>
      </c>
      <c r="R3" s="131" t="s">
        <v>332</v>
      </c>
      <c r="S3" s="131" t="s">
        <v>431</v>
      </c>
      <c r="T3" s="125" t="s">
        <v>372</v>
      </c>
    </row>
    <row r="4" spans="1:22" ht="15" customHeight="1" x14ac:dyDescent="0.6">
      <c r="A4" s="118"/>
      <c r="B4" s="121" t="s">
        <v>432</v>
      </c>
      <c r="C4" s="124" t="s">
        <v>433</v>
      </c>
      <c r="D4" s="118"/>
      <c r="E4" s="137" t="s">
        <v>434</v>
      </c>
      <c r="F4" s="118"/>
      <c r="G4" s="121" t="s">
        <v>435</v>
      </c>
      <c r="H4" s="124" t="s">
        <v>328</v>
      </c>
      <c r="I4" s="118"/>
      <c r="J4" s="126" t="s">
        <v>436</v>
      </c>
      <c r="K4" s="130" t="s">
        <v>437</v>
      </c>
      <c r="L4" s="124" t="s">
        <v>438</v>
      </c>
      <c r="N4" s="122" t="s">
        <v>439</v>
      </c>
      <c r="O4" s="131" t="s">
        <v>280</v>
      </c>
      <c r="P4" s="131" t="s">
        <v>440</v>
      </c>
      <c r="Q4" s="131" t="s">
        <v>441</v>
      </c>
      <c r="R4" s="131" t="s">
        <v>442</v>
      </c>
      <c r="S4" s="131" t="s">
        <v>443</v>
      </c>
      <c r="T4" s="125" t="s">
        <v>444</v>
      </c>
    </row>
    <row r="5" spans="1:22" ht="15" customHeight="1" x14ac:dyDescent="0.6">
      <c r="A5" s="118"/>
      <c r="B5" s="121" t="s">
        <v>445</v>
      </c>
      <c r="C5" s="124" t="s">
        <v>446</v>
      </c>
      <c r="D5" s="118"/>
      <c r="E5" s="137" t="s">
        <v>447</v>
      </c>
      <c r="F5" s="118"/>
      <c r="G5" s="121" t="s">
        <v>448</v>
      </c>
      <c r="H5" s="124" t="s">
        <v>449</v>
      </c>
      <c r="I5" s="118"/>
      <c r="J5" s="126" t="s">
        <v>450</v>
      </c>
      <c r="K5" s="130" t="s">
        <v>451</v>
      </c>
      <c r="L5" s="124" t="s">
        <v>452</v>
      </c>
      <c r="N5" s="122" t="s">
        <v>453</v>
      </c>
      <c r="O5" s="131" t="s">
        <v>454</v>
      </c>
      <c r="P5" s="131"/>
      <c r="Q5" s="131" t="s">
        <v>337</v>
      </c>
      <c r="R5" s="131"/>
      <c r="S5" s="131"/>
      <c r="T5" s="125"/>
    </row>
    <row r="6" spans="1:22" ht="21.75" customHeight="1" x14ac:dyDescent="0.6">
      <c r="B6" s="122" t="s">
        <v>455</v>
      </c>
      <c r="C6" s="125" t="s">
        <v>456</v>
      </c>
      <c r="E6" s="138" t="s">
        <v>457</v>
      </c>
      <c r="G6" s="122" t="s">
        <v>458</v>
      </c>
      <c r="H6" s="125" t="s">
        <v>459</v>
      </c>
      <c r="J6" s="127" t="s">
        <v>460</v>
      </c>
      <c r="K6" s="131" t="s">
        <v>461</v>
      </c>
      <c r="L6" s="125" t="s">
        <v>462</v>
      </c>
      <c r="N6" s="122" t="s">
        <v>463</v>
      </c>
      <c r="O6" s="131" t="s">
        <v>464</v>
      </c>
      <c r="P6" s="131"/>
      <c r="Q6" s="131" t="s">
        <v>331</v>
      </c>
      <c r="R6" s="131"/>
      <c r="S6" s="131"/>
      <c r="T6" s="125"/>
    </row>
    <row r="7" spans="1:22" ht="21.75" customHeight="1" x14ac:dyDescent="0.6">
      <c r="B7" s="122" t="s">
        <v>465</v>
      </c>
      <c r="C7" s="125" t="s">
        <v>466</v>
      </c>
      <c r="G7" s="122" t="s">
        <v>467</v>
      </c>
      <c r="H7" s="125" t="s">
        <v>354</v>
      </c>
      <c r="J7" s="127" t="s">
        <v>468</v>
      </c>
      <c r="K7" s="131" t="s">
        <v>469</v>
      </c>
      <c r="L7" s="125" t="s">
        <v>470</v>
      </c>
      <c r="N7" s="122"/>
      <c r="O7" s="131" t="s">
        <v>471</v>
      </c>
      <c r="P7" s="131"/>
      <c r="Q7" s="131" t="s">
        <v>340</v>
      </c>
      <c r="R7" s="131"/>
      <c r="S7" s="131"/>
      <c r="T7" s="125"/>
    </row>
    <row r="8" spans="1:22" ht="21.75" customHeight="1" x14ac:dyDescent="0.6">
      <c r="B8" s="122" t="s">
        <v>472</v>
      </c>
      <c r="C8" s="125" t="s">
        <v>473</v>
      </c>
      <c r="G8" s="122" t="s">
        <v>474</v>
      </c>
      <c r="H8" s="125" t="s">
        <v>475</v>
      </c>
      <c r="J8" s="128" t="s">
        <v>476</v>
      </c>
      <c r="K8" s="132" t="s">
        <v>477</v>
      </c>
      <c r="L8" s="125" t="s">
        <v>478</v>
      </c>
      <c r="N8" s="122"/>
      <c r="O8" s="131"/>
      <c r="P8" s="131"/>
      <c r="Q8" s="131" t="s">
        <v>479</v>
      </c>
      <c r="R8" s="131"/>
      <c r="S8" s="131"/>
      <c r="T8" s="125"/>
    </row>
    <row r="9" spans="1:22" ht="21.75" customHeight="1" x14ac:dyDescent="0.6">
      <c r="B9" s="122" t="s">
        <v>480</v>
      </c>
      <c r="C9" s="125" t="s">
        <v>481</v>
      </c>
      <c r="G9" s="122" t="s">
        <v>482</v>
      </c>
      <c r="H9" s="125" t="s">
        <v>483</v>
      </c>
      <c r="J9" s="127" t="s">
        <v>484</v>
      </c>
      <c r="K9" s="131" t="s">
        <v>485</v>
      </c>
      <c r="L9" s="125" t="s">
        <v>486</v>
      </c>
      <c r="N9" s="122"/>
      <c r="O9" s="131"/>
      <c r="P9" s="131"/>
      <c r="Q9" s="131" t="s">
        <v>487</v>
      </c>
      <c r="R9" s="131"/>
      <c r="S9" s="131"/>
      <c r="T9" s="125"/>
    </row>
    <row r="10" spans="1:22" ht="21.75" customHeight="1" x14ac:dyDescent="0.6">
      <c r="B10" s="122" t="s">
        <v>488</v>
      </c>
      <c r="C10" s="125" t="s">
        <v>489</v>
      </c>
      <c r="G10" s="122" t="s">
        <v>490</v>
      </c>
      <c r="H10" s="125" t="s">
        <v>491</v>
      </c>
      <c r="J10" s="127" t="s">
        <v>492</v>
      </c>
      <c r="K10" s="131" t="s">
        <v>493</v>
      </c>
      <c r="L10" s="125" t="s">
        <v>494</v>
      </c>
      <c r="N10" s="122"/>
      <c r="O10" s="131"/>
      <c r="P10" s="131"/>
      <c r="Q10" s="131" t="s">
        <v>495</v>
      </c>
      <c r="R10" s="131"/>
      <c r="S10" s="131"/>
      <c r="T10" s="125"/>
    </row>
    <row r="11" spans="1:22" ht="21.75" customHeight="1" x14ac:dyDescent="0.6">
      <c r="B11" s="122" t="s">
        <v>496</v>
      </c>
      <c r="C11" s="125" t="s">
        <v>497</v>
      </c>
      <c r="G11" s="122" t="s">
        <v>498</v>
      </c>
      <c r="H11" s="125" t="s">
        <v>499</v>
      </c>
      <c r="J11" s="127" t="s">
        <v>500</v>
      </c>
      <c r="K11" s="131" t="s">
        <v>501</v>
      </c>
      <c r="L11" s="125" t="s">
        <v>502</v>
      </c>
      <c r="N11" s="122"/>
      <c r="O11" s="131"/>
      <c r="P11" s="131"/>
      <c r="Q11" s="131" t="s">
        <v>503</v>
      </c>
      <c r="R11" s="131"/>
      <c r="S11" s="131"/>
      <c r="T11" s="125"/>
    </row>
    <row r="12" spans="1:22" ht="21.75" customHeight="1" x14ac:dyDescent="0.6">
      <c r="B12" s="122" t="s">
        <v>504</v>
      </c>
      <c r="C12" s="125" t="s">
        <v>505</v>
      </c>
      <c r="G12" s="122" t="s">
        <v>506</v>
      </c>
      <c r="H12" s="125" t="s">
        <v>507</v>
      </c>
      <c r="J12" s="127" t="s">
        <v>303</v>
      </c>
      <c r="K12" s="131" t="s">
        <v>508</v>
      </c>
      <c r="L12" s="125" t="s">
        <v>509</v>
      </c>
      <c r="N12" s="122"/>
      <c r="O12" s="131"/>
      <c r="P12" s="131"/>
      <c r="Q12" s="131" t="s">
        <v>510</v>
      </c>
      <c r="R12" s="131"/>
      <c r="S12" s="131"/>
      <c r="T12" s="125"/>
    </row>
    <row r="13" spans="1:22" ht="21.75" customHeight="1" x14ac:dyDescent="0.6">
      <c r="B13" s="122" t="s">
        <v>511</v>
      </c>
      <c r="C13" s="125" t="s">
        <v>512</v>
      </c>
      <c r="G13" s="122" t="s">
        <v>513</v>
      </c>
      <c r="H13" s="125" t="s">
        <v>514</v>
      </c>
      <c r="J13" s="127" t="s">
        <v>370</v>
      </c>
      <c r="K13" s="131" t="s">
        <v>515</v>
      </c>
      <c r="L13" s="125" t="s">
        <v>516</v>
      </c>
      <c r="N13" s="122"/>
      <c r="O13" s="131"/>
      <c r="P13" s="131"/>
      <c r="Q13" s="131" t="s">
        <v>517</v>
      </c>
      <c r="R13" s="131"/>
      <c r="S13" s="131"/>
      <c r="T13" s="125"/>
    </row>
    <row r="14" spans="1:22" ht="21.75" customHeight="1" x14ac:dyDescent="0.6">
      <c r="B14" s="122" t="s">
        <v>518</v>
      </c>
      <c r="C14" s="125" t="s">
        <v>519</v>
      </c>
      <c r="G14" s="122" t="s">
        <v>520</v>
      </c>
      <c r="H14" s="125" t="s">
        <v>521</v>
      </c>
      <c r="J14" s="127" t="s">
        <v>300</v>
      </c>
      <c r="K14" s="131" t="s">
        <v>522</v>
      </c>
      <c r="L14" s="125" t="s">
        <v>523</v>
      </c>
      <c r="N14" s="122"/>
      <c r="O14" s="131"/>
      <c r="P14" s="131"/>
      <c r="Q14" s="131" t="s">
        <v>524</v>
      </c>
      <c r="R14" s="131"/>
      <c r="S14" s="131"/>
      <c r="T14" s="125"/>
    </row>
    <row r="15" spans="1:22" ht="21.75" customHeight="1" x14ac:dyDescent="0.6">
      <c r="B15" s="122" t="s">
        <v>525</v>
      </c>
      <c r="C15" s="125" t="s">
        <v>526</v>
      </c>
      <c r="G15" s="122" t="s">
        <v>527</v>
      </c>
      <c r="H15" s="125" t="s">
        <v>528</v>
      </c>
      <c r="J15" s="127" t="s">
        <v>529</v>
      </c>
      <c r="K15" s="131" t="s">
        <v>530</v>
      </c>
      <c r="L15" s="125" t="s">
        <v>531</v>
      </c>
      <c r="N15" s="122"/>
      <c r="O15" s="131"/>
      <c r="P15" s="131"/>
      <c r="Q15" s="131" t="s">
        <v>532</v>
      </c>
      <c r="R15" s="131"/>
      <c r="S15" s="131"/>
      <c r="T15" s="125"/>
    </row>
    <row r="16" spans="1:22" ht="21.75" customHeight="1" x14ac:dyDescent="0.6">
      <c r="B16" s="122" t="s">
        <v>533</v>
      </c>
      <c r="C16" s="125" t="s">
        <v>534</v>
      </c>
      <c r="G16" s="122" t="s">
        <v>535</v>
      </c>
      <c r="H16" s="125" t="s">
        <v>536</v>
      </c>
      <c r="J16" s="127" t="s">
        <v>305</v>
      </c>
      <c r="K16" s="131" t="s">
        <v>537</v>
      </c>
      <c r="L16" s="125" t="s">
        <v>538</v>
      </c>
      <c r="N16" s="122"/>
      <c r="O16" s="131"/>
      <c r="P16" s="131"/>
      <c r="Q16" s="131" t="s">
        <v>539</v>
      </c>
      <c r="R16" s="131"/>
      <c r="S16" s="131"/>
      <c r="T16" s="125"/>
    </row>
    <row r="17" spans="2:12" ht="21.75" customHeight="1" x14ac:dyDescent="0.6">
      <c r="B17" s="122" t="s">
        <v>540</v>
      </c>
      <c r="C17" s="125" t="s">
        <v>541</v>
      </c>
      <c r="G17" s="122" t="s">
        <v>542</v>
      </c>
      <c r="H17" s="125" t="s">
        <v>543</v>
      </c>
      <c r="J17" s="127" t="s">
        <v>544</v>
      </c>
      <c r="K17" s="131" t="s">
        <v>545</v>
      </c>
      <c r="L17" s="125" t="s">
        <v>546</v>
      </c>
    </row>
    <row r="18" spans="2:12" ht="21.75" customHeight="1" x14ac:dyDescent="0.6">
      <c r="B18" s="122" t="s">
        <v>547</v>
      </c>
      <c r="C18" s="125" t="s">
        <v>548</v>
      </c>
      <c r="G18" s="122" t="s">
        <v>549</v>
      </c>
      <c r="H18" s="125" t="s">
        <v>329</v>
      </c>
      <c r="J18" s="127" t="s">
        <v>294</v>
      </c>
      <c r="K18" s="131" t="s">
        <v>550</v>
      </c>
      <c r="L18" s="125" t="s">
        <v>551</v>
      </c>
    </row>
    <row r="19" spans="2:12" ht="21.75" customHeight="1" x14ac:dyDescent="0.6">
      <c r="B19" s="122" t="s">
        <v>552</v>
      </c>
      <c r="C19" s="125" t="s">
        <v>553</v>
      </c>
      <c r="G19" s="122" t="s">
        <v>554</v>
      </c>
      <c r="H19" s="125" t="s">
        <v>555</v>
      </c>
      <c r="J19" s="127" t="s">
        <v>296</v>
      </c>
      <c r="K19" s="131" t="s">
        <v>556</v>
      </c>
      <c r="L19" s="125" t="s">
        <v>557</v>
      </c>
    </row>
    <row r="20" spans="2:12" ht="21.75" customHeight="1" x14ac:dyDescent="0.6">
      <c r="B20" s="122" t="s">
        <v>558</v>
      </c>
      <c r="C20" s="125" t="s">
        <v>559</v>
      </c>
      <c r="G20" s="122" t="s">
        <v>560</v>
      </c>
      <c r="H20" s="125" t="s">
        <v>561</v>
      </c>
      <c r="J20" s="127" t="s">
        <v>292</v>
      </c>
      <c r="K20" s="131" t="s">
        <v>562</v>
      </c>
      <c r="L20" s="125" t="s">
        <v>563</v>
      </c>
    </row>
    <row r="21" spans="2:12" ht="21.75" customHeight="1" x14ac:dyDescent="0.6">
      <c r="B21" s="122" t="s">
        <v>564</v>
      </c>
      <c r="C21" s="125" t="s">
        <v>565</v>
      </c>
      <c r="G21" s="122" t="s">
        <v>566</v>
      </c>
      <c r="H21" s="125" t="s">
        <v>567</v>
      </c>
      <c r="J21" s="127" t="s">
        <v>351</v>
      </c>
      <c r="K21" s="131" t="s">
        <v>568</v>
      </c>
      <c r="L21" s="125" t="s">
        <v>569</v>
      </c>
    </row>
    <row r="22" spans="2:12" ht="21.75" customHeight="1" x14ac:dyDescent="0.6">
      <c r="B22" s="122" t="s">
        <v>570</v>
      </c>
      <c r="C22" s="125" t="s">
        <v>571</v>
      </c>
      <c r="G22" s="122" t="s">
        <v>572</v>
      </c>
      <c r="H22" s="125" t="s">
        <v>573</v>
      </c>
      <c r="J22" s="127" t="s">
        <v>374</v>
      </c>
      <c r="K22" s="131" t="s">
        <v>574</v>
      </c>
      <c r="L22" s="125" t="s">
        <v>575</v>
      </c>
    </row>
    <row r="23" spans="2:12" ht="21.75" customHeight="1" x14ac:dyDescent="0.6">
      <c r="B23" s="122" t="s">
        <v>576</v>
      </c>
      <c r="C23" s="125" t="s">
        <v>577</v>
      </c>
      <c r="G23" s="122" t="s">
        <v>578</v>
      </c>
      <c r="H23" s="125" t="s">
        <v>579</v>
      </c>
      <c r="J23" s="127" t="s">
        <v>375</v>
      </c>
      <c r="K23" s="131" t="s">
        <v>580</v>
      </c>
      <c r="L23" s="125" t="s">
        <v>581</v>
      </c>
    </row>
    <row r="24" spans="2:12" ht="21.75" customHeight="1" x14ac:dyDescent="0.6">
      <c r="B24" s="122" t="s">
        <v>582</v>
      </c>
      <c r="C24" s="125" t="s">
        <v>583</v>
      </c>
      <c r="G24" s="122" t="s">
        <v>584</v>
      </c>
      <c r="H24" s="125" t="s">
        <v>585</v>
      </c>
      <c r="J24" s="127" t="s">
        <v>586</v>
      </c>
      <c r="K24" s="131" t="s">
        <v>587</v>
      </c>
      <c r="L24" s="125" t="s">
        <v>588</v>
      </c>
    </row>
    <row r="25" spans="2:12" ht="21.75" customHeight="1" x14ac:dyDescent="0.6">
      <c r="B25" s="122" t="s">
        <v>589</v>
      </c>
      <c r="C25" s="125" t="s">
        <v>590</v>
      </c>
      <c r="G25" s="122" t="s">
        <v>591</v>
      </c>
      <c r="H25" s="125" t="s">
        <v>592</v>
      </c>
      <c r="J25" s="127" t="s">
        <v>376</v>
      </c>
      <c r="K25" s="131" t="s">
        <v>593</v>
      </c>
      <c r="L25" s="125" t="s">
        <v>594</v>
      </c>
    </row>
    <row r="26" spans="2:12" ht="21.75" customHeight="1" x14ac:dyDescent="0.6">
      <c r="B26" s="122" t="s">
        <v>595</v>
      </c>
      <c r="C26" s="125" t="s">
        <v>596</v>
      </c>
      <c r="G26" s="122" t="s">
        <v>597</v>
      </c>
      <c r="H26" s="125" t="s">
        <v>598</v>
      </c>
      <c r="J26" s="127" t="s">
        <v>377</v>
      </c>
      <c r="K26" s="131" t="s">
        <v>599</v>
      </c>
      <c r="L26" s="125" t="s">
        <v>600</v>
      </c>
    </row>
    <row r="27" spans="2:12" ht="21.75" customHeight="1" x14ac:dyDescent="0.6">
      <c r="B27" s="122" t="s">
        <v>601</v>
      </c>
      <c r="C27" s="125" t="s">
        <v>602</v>
      </c>
      <c r="G27" s="122" t="s">
        <v>603</v>
      </c>
      <c r="H27" s="125" t="s">
        <v>604</v>
      </c>
      <c r="J27" s="127" t="s">
        <v>307</v>
      </c>
      <c r="K27" s="131" t="s">
        <v>605</v>
      </c>
      <c r="L27" s="125" t="s">
        <v>606</v>
      </c>
    </row>
    <row r="28" spans="2:12" ht="21.75" customHeight="1" x14ac:dyDescent="0.6">
      <c r="B28" s="122" t="s">
        <v>607</v>
      </c>
      <c r="C28" s="125" t="s">
        <v>608</v>
      </c>
      <c r="G28" s="122" t="s">
        <v>609</v>
      </c>
      <c r="H28" s="125" t="s">
        <v>333</v>
      </c>
      <c r="J28" s="127" t="s">
        <v>610</v>
      </c>
      <c r="K28" s="131" t="s">
        <v>611</v>
      </c>
      <c r="L28" s="125" t="s">
        <v>612</v>
      </c>
    </row>
    <row r="29" spans="2:12" ht="21.75" customHeight="1" x14ac:dyDescent="0.6">
      <c r="B29" s="122" t="s">
        <v>613</v>
      </c>
      <c r="C29" s="125" t="s">
        <v>614</v>
      </c>
      <c r="G29" s="122" t="s">
        <v>615</v>
      </c>
      <c r="H29" s="125" t="s">
        <v>616</v>
      </c>
      <c r="J29" s="127" t="s">
        <v>617</v>
      </c>
      <c r="K29" s="131" t="s">
        <v>618</v>
      </c>
      <c r="L29" s="125" t="s">
        <v>619</v>
      </c>
    </row>
    <row r="30" spans="2:12" ht="21.75" customHeight="1" x14ac:dyDescent="0.6">
      <c r="B30" s="122" t="s">
        <v>620</v>
      </c>
      <c r="C30" s="125" t="s">
        <v>621</v>
      </c>
      <c r="G30" s="122" t="s">
        <v>622</v>
      </c>
      <c r="H30" s="125" t="s">
        <v>623</v>
      </c>
      <c r="J30" s="127" t="s">
        <v>624</v>
      </c>
      <c r="K30" s="132" t="s">
        <v>625</v>
      </c>
      <c r="L30" s="125" t="s">
        <v>358</v>
      </c>
    </row>
    <row r="31" spans="2:12" ht="21.75" customHeight="1" x14ac:dyDescent="0.6">
      <c r="B31" s="122" t="s">
        <v>626</v>
      </c>
      <c r="C31" s="125" t="s">
        <v>627</v>
      </c>
      <c r="G31" s="122" t="s">
        <v>628</v>
      </c>
      <c r="H31" s="125" t="s">
        <v>629</v>
      </c>
      <c r="J31" s="127" t="s">
        <v>630</v>
      </c>
      <c r="K31" s="131" t="s">
        <v>631</v>
      </c>
      <c r="L31" s="125" t="s">
        <v>632</v>
      </c>
    </row>
    <row r="32" spans="2:12" ht="21.75" customHeight="1" x14ac:dyDescent="0.6">
      <c r="B32" s="122" t="s">
        <v>633</v>
      </c>
      <c r="C32" s="125" t="s">
        <v>634</v>
      </c>
      <c r="G32" s="122" t="s">
        <v>635</v>
      </c>
      <c r="H32" s="125" t="s">
        <v>636</v>
      </c>
      <c r="J32" s="127" t="s">
        <v>637</v>
      </c>
      <c r="K32" s="131" t="s">
        <v>638</v>
      </c>
      <c r="L32" s="125" t="s">
        <v>639</v>
      </c>
    </row>
    <row r="33" spans="2:12" ht="21.75" customHeight="1" x14ac:dyDescent="0.6">
      <c r="B33" s="122" t="s">
        <v>273</v>
      </c>
      <c r="C33" s="125" t="s">
        <v>315</v>
      </c>
      <c r="G33" s="122" t="s">
        <v>640</v>
      </c>
      <c r="H33" s="125" t="s">
        <v>641</v>
      </c>
      <c r="J33" s="127" t="s">
        <v>642</v>
      </c>
      <c r="K33" s="131" t="s">
        <v>643</v>
      </c>
      <c r="L33" s="125" t="s">
        <v>644</v>
      </c>
    </row>
    <row r="34" spans="2:12" ht="21.75" customHeight="1" x14ac:dyDescent="0.6">
      <c r="B34" s="122" t="s">
        <v>645</v>
      </c>
      <c r="C34" s="125" t="s">
        <v>646</v>
      </c>
      <c r="G34" s="122" t="s">
        <v>647</v>
      </c>
      <c r="H34" s="125" t="s">
        <v>648</v>
      </c>
      <c r="J34" s="127" t="s">
        <v>649</v>
      </c>
      <c r="K34" s="131" t="s">
        <v>650</v>
      </c>
      <c r="L34" s="125" t="s">
        <v>651</v>
      </c>
    </row>
    <row r="35" spans="2:12" ht="21.75" customHeight="1" x14ac:dyDescent="0.6">
      <c r="B35" s="122" t="s">
        <v>652</v>
      </c>
      <c r="C35" s="125" t="s">
        <v>653</v>
      </c>
      <c r="G35" s="122" t="s">
        <v>654</v>
      </c>
      <c r="H35" s="125" t="s">
        <v>655</v>
      </c>
      <c r="J35" s="127" t="s">
        <v>344</v>
      </c>
      <c r="K35" s="131" t="s">
        <v>656</v>
      </c>
      <c r="L35" s="125" t="s">
        <v>657</v>
      </c>
    </row>
    <row r="36" spans="2:12" ht="21.75" customHeight="1" x14ac:dyDescent="0.6">
      <c r="B36" s="122" t="s">
        <v>658</v>
      </c>
      <c r="C36" s="125" t="s">
        <v>659</v>
      </c>
      <c r="G36" s="122" t="s">
        <v>660</v>
      </c>
      <c r="H36" s="125" t="s">
        <v>661</v>
      </c>
      <c r="J36" s="127" t="s">
        <v>662</v>
      </c>
      <c r="K36" s="131" t="s">
        <v>663</v>
      </c>
      <c r="L36" s="125" t="s">
        <v>664</v>
      </c>
    </row>
    <row r="37" spans="2:12" ht="21.75" customHeight="1" x14ac:dyDescent="0.6">
      <c r="B37" s="122" t="s">
        <v>665</v>
      </c>
      <c r="C37" s="125" t="s">
        <v>666</v>
      </c>
      <c r="G37" s="122" t="s">
        <v>667</v>
      </c>
      <c r="H37" s="125" t="s">
        <v>668</v>
      </c>
      <c r="J37" s="127" t="s">
        <v>669</v>
      </c>
      <c r="K37" s="131" t="s">
        <v>670</v>
      </c>
      <c r="L37" s="125" t="s">
        <v>671</v>
      </c>
    </row>
    <row r="38" spans="2:12" ht="21.75" customHeight="1" x14ac:dyDescent="0.6">
      <c r="B38" s="122" t="s">
        <v>672</v>
      </c>
      <c r="C38" s="125" t="s">
        <v>673</v>
      </c>
      <c r="G38" s="122" t="s">
        <v>674</v>
      </c>
      <c r="H38" s="125" t="s">
        <v>675</v>
      </c>
      <c r="J38" s="127" t="s">
        <v>676</v>
      </c>
      <c r="K38" s="131" t="s">
        <v>677</v>
      </c>
      <c r="L38" s="125" t="s">
        <v>678</v>
      </c>
    </row>
    <row r="39" spans="2:12" ht="21.75" customHeight="1" x14ac:dyDescent="0.6">
      <c r="B39" s="122" t="s">
        <v>679</v>
      </c>
      <c r="C39" s="125" t="s">
        <v>680</v>
      </c>
      <c r="G39" s="122" t="s">
        <v>681</v>
      </c>
      <c r="H39" s="125" t="s">
        <v>682</v>
      </c>
      <c r="J39" s="127" t="s">
        <v>683</v>
      </c>
      <c r="K39" s="131" t="s">
        <v>684</v>
      </c>
      <c r="L39" s="125" t="s">
        <v>685</v>
      </c>
    </row>
    <row r="40" spans="2:12" ht="21.75" customHeight="1" x14ac:dyDescent="0.6">
      <c r="B40" s="122" t="s">
        <v>686</v>
      </c>
      <c r="C40" s="125" t="s">
        <v>687</v>
      </c>
      <c r="G40" s="122" t="s">
        <v>688</v>
      </c>
      <c r="H40" s="125" t="s">
        <v>689</v>
      </c>
      <c r="J40" s="127" t="s">
        <v>690</v>
      </c>
      <c r="K40" s="131" t="s">
        <v>691</v>
      </c>
      <c r="L40" s="125" t="s">
        <v>692</v>
      </c>
    </row>
    <row r="41" spans="2:12" ht="21.75" customHeight="1" x14ac:dyDescent="0.6">
      <c r="B41" s="122" t="s">
        <v>693</v>
      </c>
      <c r="C41" s="125" t="s">
        <v>694</v>
      </c>
      <c r="G41" s="122" t="s">
        <v>695</v>
      </c>
      <c r="H41" s="125" t="s">
        <v>696</v>
      </c>
      <c r="J41" s="127" t="s">
        <v>697</v>
      </c>
      <c r="K41" s="131" t="s">
        <v>698</v>
      </c>
      <c r="L41" s="125" t="s">
        <v>699</v>
      </c>
    </row>
    <row r="42" spans="2:12" ht="21.75" customHeight="1" x14ac:dyDescent="0.6">
      <c r="B42" s="122" t="s">
        <v>700</v>
      </c>
      <c r="C42" s="125" t="s">
        <v>701</v>
      </c>
      <c r="G42" s="122" t="s">
        <v>702</v>
      </c>
      <c r="H42" s="125" t="s">
        <v>703</v>
      </c>
      <c r="J42" s="127" t="s">
        <v>704</v>
      </c>
      <c r="K42" s="131" t="s">
        <v>705</v>
      </c>
      <c r="L42" s="125" t="s">
        <v>706</v>
      </c>
    </row>
    <row r="43" spans="2:12" ht="21.75" customHeight="1" x14ac:dyDescent="0.6">
      <c r="B43" s="122" t="s">
        <v>707</v>
      </c>
      <c r="C43" s="125" t="s">
        <v>708</v>
      </c>
      <c r="G43" s="122" t="s">
        <v>709</v>
      </c>
      <c r="H43" s="125" t="s">
        <v>710</v>
      </c>
      <c r="J43" s="127" t="s">
        <v>711</v>
      </c>
      <c r="K43" s="131" t="s">
        <v>712</v>
      </c>
      <c r="L43" s="125" t="s">
        <v>713</v>
      </c>
    </row>
    <row r="44" spans="2:12" ht="21.75" customHeight="1" x14ac:dyDescent="0.6">
      <c r="B44" s="122" t="s">
        <v>714</v>
      </c>
      <c r="C44" s="125" t="s">
        <v>715</v>
      </c>
      <c r="G44" s="122" t="s">
        <v>716</v>
      </c>
      <c r="H44" s="125" t="s">
        <v>717</v>
      </c>
      <c r="J44" s="127" t="s">
        <v>718</v>
      </c>
      <c r="K44" s="131" t="s">
        <v>719</v>
      </c>
      <c r="L44" s="125" t="s">
        <v>720</v>
      </c>
    </row>
    <row r="45" spans="2:12" ht="21.75" customHeight="1" x14ac:dyDescent="0.6">
      <c r="B45" s="122" t="s">
        <v>721</v>
      </c>
      <c r="C45" s="125" t="s">
        <v>722</v>
      </c>
      <c r="G45" s="122" t="s">
        <v>723</v>
      </c>
      <c r="H45" s="125" t="s">
        <v>724</v>
      </c>
      <c r="J45" s="127" t="s">
        <v>725</v>
      </c>
      <c r="K45" s="131" t="s">
        <v>726</v>
      </c>
      <c r="L45" s="125" t="s">
        <v>727</v>
      </c>
    </row>
    <row r="46" spans="2:12" ht="21.75" customHeight="1" x14ac:dyDescent="0.6">
      <c r="B46" s="122" t="s">
        <v>728</v>
      </c>
      <c r="C46" s="125" t="s">
        <v>729</v>
      </c>
      <c r="G46" s="122" t="s">
        <v>730</v>
      </c>
      <c r="H46" s="125" t="s">
        <v>731</v>
      </c>
      <c r="J46" s="127" t="s">
        <v>732</v>
      </c>
      <c r="K46" s="131" t="s">
        <v>733</v>
      </c>
      <c r="L46" s="125" t="s">
        <v>734</v>
      </c>
    </row>
    <row r="47" spans="2:12" ht="21.75" customHeight="1" x14ac:dyDescent="0.6">
      <c r="B47" s="122" t="s">
        <v>735</v>
      </c>
      <c r="C47" s="125" t="s">
        <v>736</v>
      </c>
      <c r="G47" s="122" t="s">
        <v>737</v>
      </c>
      <c r="H47" s="125" t="s">
        <v>738</v>
      </c>
      <c r="J47" s="127" t="s">
        <v>739</v>
      </c>
      <c r="K47" s="131" t="s">
        <v>740</v>
      </c>
      <c r="L47" s="125" t="s">
        <v>741</v>
      </c>
    </row>
    <row r="48" spans="2:12" ht="21.75" customHeight="1" x14ac:dyDescent="0.6">
      <c r="B48" s="122" t="s">
        <v>742</v>
      </c>
      <c r="C48" s="125" t="s">
        <v>743</v>
      </c>
      <c r="G48" s="122" t="s">
        <v>744</v>
      </c>
      <c r="H48" s="125" t="s">
        <v>745</v>
      </c>
      <c r="J48" s="127" t="s">
        <v>746</v>
      </c>
      <c r="K48" s="131" t="s">
        <v>747</v>
      </c>
      <c r="L48" s="125" t="s">
        <v>748</v>
      </c>
    </row>
    <row r="49" spans="2:12" ht="21.75" customHeight="1" x14ac:dyDescent="0.6">
      <c r="B49" s="122" t="s">
        <v>749</v>
      </c>
      <c r="C49" s="125" t="s">
        <v>750</v>
      </c>
      <c r="G49" s="122" t="s">
        <v>751</v>
      </c>
      <c r="H49" s="125" t="s">
        <v>752</v>
      </c>
      <c r="J49" s="127" t="s">
        <v>753</v>
      </c>
      <c r="K49" s="131" t="s">
        <v>754</v>
      </c>
      <c r="L49" s="125" t="s">
        <v>755</v>
      </c>
    </row>
    <row r="50" spans="2:12" ht="21.75" customHeight="1" x14ac:dyDescent="0.6">
      <c r="B50" s="122" t="s">
        <v>756</v>
      </c>
      <c r="C50" s="125" t="s">
        <v>757</v>
      </c>
      <c r="G50" s="122" t="s">
        <v>758</v>
      </c>
      <c r="H50" s="125" t="s">
        <v>759</v>
      </c>
      <c r="J50" s="127" t="s">
        <v>760</v>
      </c>
      <c r="K50" s="131" t="s">
        <v>761</v>
      </c>
      <c r="L50" s="125" t="s">
        <v>762</v>
      </c>
    </row>
    <row r="51" spans="2:12" ht="21.75" customHeight="1" x14ac:dyDescent="0.6">
      <c r="B51" s="122" t="s">
        <v>763</v>
      </c>
      <c r="C51" s="125" t="s">
        <v>764</v>
      </c>
      <c r="G51" s="122" t="s">
        <v>765</v>
      </c>
      <c r="H51" s="125" t="s">
        <v>766</v>
      </c>
      <c r="J51" s="127" t="s">
        <v>767</v>
      </c>
      <c r="K51" s="131" t="s">
        <v>768</v>
      </c>
      <c r="L51" s="125" t="s">
        <v>769</v>
      </c>
    </row>
    <row r="52" spans="2:12" ht="21.75" customHeight="1" x14ac:dyDescent="0.6">
      <c r="B52" s="122" t="s">
        <v>770</v>
      </c>
      <c r="C52" s="125" t="s">
        <v>771</v>
      </c>
      <c r="G52" s="122" t="s">
        <v>772</v>
      </c>
      <c r="H52" s="125" t="s">
        <v>335</v>
      </c>
      <c r="J52" s="127" t="s">
        <v>773</v>
      </c>
      <c r="K52" s="131" t="s">
        <v>774</v>
      </c>
      <c r="L52" s="125" t="s">
        <v>775</v>
      </c>
    </row>
    <row r="53" spans="2:12" ht="21.75" customHeight="1" x14ac:dyDescent="0.6">
      <c r="B53" s="122" t="s">
        <v>776</v>
      </c>
      <c r="C53" s="125" t="s">
        <v>777</v>
      </c>
      <c r="G53" s="122" t="s">
        <v>778</v>
      </c>
      <c r="H53" s="125" t="s">
        <v>779</v>
      </c>
      <c r="J53" s="127" t="s">
        <v>378</v>
      </c>
      <c r="K53" s="131" t="s">
        <v>780</v>
      </c>
      <c r="L53" s="125" t="s">
        <v>781</v>
      </c>
    </row>
    <row r="54" spans="2:12" ht="21.75" customHeight="1" x14ac:dyDescent="0.6">
      <c r="B54" s="122" t="s">
        <v>782</v>
      </c>
      <c r="C54" s="125" t="s">
        <v>783</v>
      </c>
      <c r="G54" s="122" t="s">
        <v>784</v>
      </c>
      <c r="H54" s="125" t="s">
        <v>785</v>
      </c>
      <c r="J54" s="127" t="s">
        <v>786</v>
      </c>
      <c r="K54" s="131" t="s">
        <v>787</v>
      </c>
      <c r="L54" s="125" t="s">
        <v>788</v>
      </c>
    </row>
    <row r="55" spans="2:12" ht="21.75" customHeight="1" x14ac:dyDescent="0.6">
      <c r="B55" s="122" t="s">
        <v>789</v>
      </c>
      <c r="C55" s="125" t="s">
        <v>790</v>
      </c>
      <c r="G55" s="122" t="s">
        <v>791</v>
      </c>
      <c r="H55" s="125" t="s">
        <v>792</v>
      </c>
      <c r="J55" s="127" t="s">
        <v>346</v>
      </c>
      <c r="K55" s="131" t="s">
        <v>793</v>
      </c>
      <c r="L55" s="125" t="s">
        <v>794</v>
      </c>
    </row>
    <row r="56" spans="2:12" ht="21.75" customHeight="1" x14ac:dyDescent="0.6">
      <c r="B56" s="122" t="s">
        <v>795</v>
      </c>
      <c r="C56" s="125" t="s">
        <v>796</v>
      </c>
      <c r="G56" s="122" t="s">
        <v>797</v>
      </c>
      <c r="H56" s="125" t="s">
        <v>798</v>
      </c>
      <c r="J56" s="127" t="s">
        <v>379</v>
      </c>
      <c r="K56" s="131" t="s">
        <v>799</v>
      </c>
      <c r="L56" s="125" t="s">
        <v>800</v>
      </c>
    </row>
    <row r="57" spans="2:12" ht="21.75" customHeight="1" x14ac:dyDescent="0.6">
      <c r="B57" s="122" t="s">
        <v>801</v>
      </c>
      <c r="C57" s="125" t="s">
        <v>802</v>
      </c>
      <c r="G57" s="122" t="s">
        <v>803</v>
      </c>
      <c r="H57" s="125" t="s">
        <v>804</v>
      </c>
      <c r="J57" s="127" t="s">
        <v>805</v>
      </c>
      <c r="K57" s="131" t="s">
        <v>806</v>
      </c>
      <c r="L57" s="125" t="s">
        <v>807</v>
      </c>
    </row>
    <row r="58" spans="2:12" ht="21.75" customHeight="1" x14ac:dyDescent="0.6">
      <c r="B58" s="122" t="s">
        <v>808</v>
      </c>
      <c r="C58" s="125" t="s">
        <v>809</v>
      </c>
      <c r="G58" s="122" t="s">
        <v>810</v>
      </c>
      <c r="H58" s="125" t="s">
        <v>811</v>
      </c>
      <c r="J58" s="127" t="s">
        <v>812</v>
      </c>
      <c r="K58" s="131" t="s">
        <v>813</v>
      </c>
      <c r="L58" s="125" t="s">
        <v>814</v>
      </c>
    </row>
    <row r="59" spans="2:12" ht="21.75" customHeight="1" x14ac:dyDescent="0.6">
      <c r="B59" s="122" t="s">
        <v>815</v>
      </c>
      <c r="C59" s="125" t="s">
        <v>816</v>
      </c>
      <c r="G59" s="122" t="s">
        <v>817</v>
      </c>
      <c r="H59" s="125" t="s">
        <v>818</v>
      </c>
      <c r="J59" s="127" t="s">
        <v>342</v>
      </c>
      <c r="K59" s="131" t="s">
        <v>819</v>
      </c>
      <c r="L59" s="125" t="s">
        <v>820</v>
      </c>
    </row>
    <row r="60" spans="2:12" ht="21.75" customHeight="1" x14ac:dyDescent="0.6">
      <c r="B60" s="122" t="s">
        <v>821</v>
      </c>
      <c r="C60" s="125" t="s">
        <v>822</v>
      </c>
      <c r="G60" s="122" t="s">
        <v>823</v>
      </c>
      <c r="H60" s="125" t="s">
        <v>824</v>
      </c>
      <c r="J60" s="127" t="s">
        <v>825</v>
      </c>
      <c r="K60" s="131" t="s">
        <v>826</v>
      </c>
      <c r="L60" s="125" t="s">
        <v>827</v>
      </c>
    </row>
    <row r="61" spans="2:12" ht="21.75" customHeight="1" x14ac:dyDescent="0.6">
      <c r="B61" s="122" t="s">
        <v>828</v>
      </c>
      <c r="C61" s="125" t="s">
        <v>829</v>
      </c>
      <c r="G61" s="122" t="s">
        <v>830</v>
      </c>
      <c r="H61" s="125" t="s">
        <v>831</v>
      </c>
      <c r="J61" s="127" t="s">
        <v>330</v>
      </c>
      <c r="K61" s="131" t="s">
        <v>832</v>
      </c>
      <c r="L61" s="125" t="s">
        <v>833</v>
      </c>
    </row>
    <row r="62" spans="2:12" ht="21.75" customHeight="1" x14ac:dyDescent="0.6">
      <c r="B62" s="122" t="s">
        <v>834</v>
      </c>
      <c r="C62" s="125" t="s">
        <v>835</v>
      </c>
      <c r="G62" s="122" t="s">
        <v>836</v>
      </c>
      <c r="H62" s="125" t="s">
        <v>837</v>
      </c>
      <c r="J62" s="127" t="s">
        <v>838</v>
      </c>
      <c r="K62" s="131" t="s">
        <v>839</v>
      </c>
      <c r="L62" s="125" t="s">
        <v>840</v>
      </c>
    </row>
    <row r="63" spans="2:12" ht="21.75" customHeight="1" x14ac:dyDescent="0.6">
      <c r="B63" s="122" t="s">
        <v>841</v>
      </c>
      <c r="C63" s="125" t="s">
        <v>842</v>
      </c>
      <c r="G63" s="122" t="s">
        <v>843</v>
      </c>
      <c r="H63" s="125" t="s">
        <v>844</v>
      </c>
      <c r="J63" s="127" t="s">
        <v>349</v>
      </c>
      <c r="K63" s="131" t="s">
        <v>845</v>
      </c>
      <c r="L63" s="125" t="s">
        <v>846</v>
      </c>
    </row>
    <row r="64" spans="2:12" ht="21.75" customHeight="1" x14ac:dyDescent="0.6">
      <c r="G64" s="122" t="s">
        <v>847</v>
      </c>
      <c r="H64" s="125" t="s">
        <v>848</v>
      </c>
      <c r="J64" s="127" t="s">
        <v>849</v>
      </c>
      <c r="K64" s="131" t="s">
        <v>850</v>
      </c>
      <c r="L64" s="125" t="s">
        <v>851</v>
      </c>
    </row>
    <row r="65" spans="7:12" ht="21.75" customHeight="1" x14ac:dyDescent="0.6">
      <c r="G65" s="122" t="s">
        <v>852</v>
      </c>
      <c r="H65" s="125" t="s">
        <v>853</v>
      </c>
      <c r="J65" s="127" t="s">
        <v>854</v>
      </c>
      <c r="K65" s="131" t="s">
        <v>855</v>
      </c>
      <c r="L65" s="125" t="s">
        <v>856</v>
      </c>
    </row>
    <row r="66" spans="7:12" ht="21.75" customHeight="1" x14ac:dyDescent="0.6">
      <c r="G66" s="122" t="s">
        <v>857</v>
      </c>
      <c r="H66" s="125" t="s">
        <v>338</v>
      </c>
      <c r="J66" s="127" t="s">
        <v>339</v>
      </c>
      <c r="K66" s="131" t="s">
        <v>858</v>
      </c>
      <c r="L66" s="125" t="s">
        <v>859</v>
      </c>
    </row>
    <row r="67" spans="7:12" ht="21.75" customHeight="1" x14ac:dyDescent="0.6">
      <c r="G67" s="122" t="s">
        <v>860</v>
      </c>
      <c r="H67" s="125" t="s">
        <v>861</v>
      </c>
      <c r="J67" s="127" t="s">
        <v>862</v>
      </c>
      <c r="K67" s="132" t="s">
        <v>863</v>
      </c>
      <c r="L67" s="125" t="s">
        <v>864</v>
      </c>
    </row>
    <row r="68" spans="7:12" ht="21.75" customHeight="1" x14ac:dyDescent="0.6">
      <c r="G68" s="122" t="s">
        <v>865</v>
      </c>
      <c r="H68" s="125" t="s">
        <v>866</v>
      </c>
      <c r="J68" s="127" t="s">
        <v>867</v>
      </c>
      <c r="K68" s="131" t="s">
        <v>868</v>
      </c>
      <c r="L68" s="125" t="s">
        <v>869</v>
      </c>
    </row>
    <row r="69" spans="7:12" ht="21.75" customHeight="1" x14ac:dyDescent="0.6">
      <c r="G69" s="122" t="s">
        <v>870</v>
      </c>
      <c r="H69" s="125" t="s">
        <v>871</v>
      </c>
      <c r="J69" s="127" t="s">
        <v>872</v>
      </c>
      <c r="K69" s="131" t="s">
        <v>873</v>
      </c>
      <c r="L69" s="125" t="s">
        <v>874</v>
      </c>
    </row>
    <row r="70" spans="7:12" ht="21.75" customHeight="1" x14ac:dyDescent="0.6">
      <c r="G70" s="122" t="s">
        <v>875</v>
      </c>
      <c r="H70" s="125" t="s">
        <v>876</v>
      </c>
      <c r="J70" s="127" t="s">
        <v>877</v>
      </c>
      <c r="K70" s="132" t="s">
        <v>878</v>
      </c>
      <c r="L70" s="125" t="s">
        <v>879</v>
      </c>
    </row>
    <row r="71" spans="7:12" ht="21.75" customHeight="1" x14ac:dyDescent="0.6">
      <c r="G71" s="122" t="s">
        <v>880</v>
      </c>
      <c r="H71" s="125" t="s">
        <v>881</v>
      </c>
      <c r="J71" s="127" t="s">
        <v>882</v>
      </c>
      <c r="K71" s="131" t="s">
        <v>883</v>
      </c>
      <c r="L71" s="125" t="s">
        <v>884</v>
      </c>
    </row>
    <row r="72" spans="7:12" ht="21.75" customHeight="1" x14ac:dyDescent="0.6">
      <c r="G72" s="122" t="s">
        <v>885</v>
      </c>
      <c r="H72" s="125" t="s">
        <v>886</v>
      </c>
      <c r="J72" s="127" t="s">
        <v>887</v>
      </c>
      <c r="K72" s="131" t="s">
        <v>888</v>
      </c>
      <c r="L72" s="125" t="s">
        <v>889</v>
      </c>
    </row>
    <row r="73" spans="7:12" ht="21.75" customHeight="1" x14ac:dyDescent="0.6">
      <c r="G73" s="122" t="s">
        <v>890</v>
      </c>
      <c r="H73" s="125" t="s">
        <v>891</v>
      </c>
      <c r="J73" s="127" t="s">
        <v>892</v>
      </c>
      <c r="K73" s="131" t="s">
        <v>893</v>
      </c>
      <c r="L73" s="125" t="s">
        <v>894</v>
      </c>
    </row>
    <row r="74" spans="7:12" ht="21.75" customHeight="1" x14ac:dyDescent="0.6">
      <c r="G74" s="122" t="s">
        <v>895</v>
      </c>
      <c r="H74" s="125" t="s">
        <v>896</v>
      </c>
      <c r="J74" s="127" t="s">
        <v>897</v>
      </c>
      <c r="K74" s="131" t="s">
        <v>898</v>
      </c>
      <c r="L74" s="125" t="s">
        <v>899</v>
      </c>
    </row>
    <row r="75" spans="7:12" ht="21.75" customHeight="1" x14ac:dyDescent="0.6">
      <c r="G75" s="122" t="s">
        <v>900</v>
      </c>
      <c r="H75" s="125" t="s">
        <v>434</v>
      </c>
      <c r="J75" s="127" t="s">
        <v>901</v>
      </c>
      <c r="K75" s="131" t="s">
        <v>902</v>
      </c>
      <c r="L75" s="125" t="s">
        <v>903</v>
      </c>
    </row>
    <row r="76" spans="7:12" ht="21.75" customHeight="1" x14ac:dyDescent="0.6">
      <c r="G76" s="122" t="s">
        <v>904</v>
      </c>
      <c r="H76" s="125" t="s">
        <v>905</v>
      </c>
      <c r="J76" s="127" t="s">
        <v>906</v>
      </c>
      <c r="K76" s="131" t="s">
        <v>907</v>
      </c>
      <c r="L76" s="125" t="s">
        <v>908</v>
      </c>
    </row>
    <row r="77" spans="7:12" ht="21.75" customHeight="1" x14ac:dyDescent="0.6">
      <c r="G77" s="122" t="s">
        <v>909</v>
      </c>
      <c r="H77" s="125" t="s">
        <v>910</v>
      </c>
      <c r="J77" s="127" t="s">
        <v>911</v>
      </c>
      <c r="K77" s="131" t="s">
        <v>912</v>
      </c>
      <c r="L77" s="125" t="s">
        <v>913</v>
      </c>
    </row>
    <row r="78" spans="7:12" ht="21.75" customHeight="1" x14ac:dyDescent="0.6">
      <c r="G78" s="122" t="s">
        <v>914</v>
      </c>
      <c r="H78" s="125" t="s">
        <v>915</v>
      </c>
      <c r="J78" s="127" t="s">
        <v>916</v>
      </c>
      <c r="K78" s="131" t="s">
        <v>917</v>
      </c>
      <c r="L78" s="125" t="s">
        <v>918</v>
      </c>
    </row>
    <row r="79" spans="7:12" ht="21.75" customHeight="1" x14ac:dyDescent="0.6">
      <c r="G79" s="122" t="s">
        <v>919</v>
      </c>
      <c r="H79" s="125" t="s">
        <v>920</v>
      </c>
      <c r="J79" s="127" t="s">
        <v>921</v>
      </c>
      <c r="K79" s="131" t="s">
        <v>922</v>
      </c>
      <c r="L79" s="125" t="s">
        <v>923</v>
      </c>
    </row>
    <row r="80" spans="7:12" ht="21.75" customHeight="1" x14ac:dyDescent="0.6">
      <c r="G80" s="122" t="s">
        <v>924</v>
      </c>
      <c r="H80" s="125" t="s">
        <v>925</v>
      </c>
      <c r="J80" s="127" t="s">
        <v>926</v>
      </c>
      <c r="K80" s="131" t="s">
        <v>927</v>
      </c>
      <c r="L80" s="125" t="s">
        <v>928</v>
      </c>
    </row>
    <row r="81" spans="7:12" ht="21.75" customHeight="1" x14ac:dyDescent="0.6">
      <c r="G81" s="122" t="s">
        <v>929</v>
      </c>
      <c r="H81" s="125" t="s">
        <v>341</v>
      </c>
      <c r="J81" s="127" t="s">
        <v>930</v>
      </c>
      <c r="K81" s="131" t="s">
        <v>931</v>
      </c>
      <c r="L81" s="125" t="s">
        <v>932</v>
      </c>
    </row>
    <row r="82" spans="7:12" ht="21.75" customHeight="1" x14ac:dyDescent="0.6">
      <c r="G82" s="122" t="s">
        <v>933</v>
      </c>
      <c r="H82" s="125" t="s">
        <v>934</v>
      </c>
      <c r="J82" s="127" t="s">
        <v>325</v>
      </c>
      <c r="K82" s="131" t="s">
        <v>935</v>
      </c>
      <c r="L82" s="125" t="s">
        <v>936</v>
      </c>
    </row>
    <row r="83" spans="7:12" ht="21.75" customHeight="1" x14ac:dyDescent="0.6">
      <c r="G83" s="122" t="s">
        <v>937</v>
      </c>
      <c r="H83" s="125" t="s">
        <v>938</v>
      </c>
      <c r="J83" s="127" t="s">
        <v>334</v>
      </c>
      <c r="K83" s="131" t="s">
        <v>939</v>
      </c>
      <c r="L83" s="125" t="s">
        <v>940</v>
      </c>
    </row>
    <row r="84" spans="7:12" ht="21.75" customHeight="1" x14ac:dyDescent="0.6">
      <c r="G84" s="122" t="s">
        <v>941</v>
      </c>
      <c r="H84" s="125" t="s">
        <v>343</v>
      </c>
      <c r="J84" s="127" t="s">
        <v>942</v>
      </c>
      <c r="K84" s="131" t="s">
        <v>943</v>
      </c>
      <c r="L84" s="125" t="s">
        <v>944</v>
      </c>
    </row>
    <row r="85" spans="7:12" ht="21.75" customHeight="1" x14ac:dyDescent="0.6">
      <c r="G85" s="122" t="s">
        <v>945</v>
      </c>
      <c r="H85" s="125" t="s">
        <v>946</v>
      </c>
      <c r="J85" s="127" t="s">
        <v>947</v>
      </c>
      <c r="K85" s="131" t="s">
        <v>948</v>
      </c>
      <c r="L85" s="125" t="s">
        <v>949</v>
      </c>
    </row>
    <row r="86" spans="7:12" ht="21.75" customHeight="1" x14ac:dyDescent="0.6">
      <c r="G86" s="122" t="s">
        <v>950</v>
      </c>
      <c r="H86" s="125" t="s">
        <v>345</v>
      </c>
      <c r="J86" s="127" t="s">
        <v>380</v>
      </c>
      <c r="K86" s="131" t="s">
        <v>951</v>
      </c>
      <c r="L86" s="125" t="s">
        <v>952</v>
      </c>
    </row>
    <row r="87" spans="7:12" ht="21.75" customHeight="1" x14ac:dyDescent="0.6">
      <c r="G87" s="122" t="s">
        <v>953</v>
      </c>
      <c r="H87" s="125" t="s">
        <v>954</v>
      </c>
      <c r="J87" s="127" t="s">
        <v>353</v>
      </c>
      <c r="K87" s="131" t="s">
        <v>955</v>
      </c>
      <c r="L87" s="125" t="s">
        <v>956</v>
      </c>
    </row>
    <row r="88" spans="7:12" ht="21.75" customHeight="1" x14ac:dyDescent="0.6">
      <c r="G88" s="122" t="s">
        <v>834</v>
      </c>
      <c r="H88" s="125" t="s">
        <v>957</v>
      </c>
      <c r="J88" s="127" t="s">
        <v>958</v>
      </c>
      <c r="K88" s="131" t="s">
        <v>959</v>
      </c>
      <c r="L88" s="125" t="s">
        <v>960</v>
      </c>
    </row>
    <row r="89" spans="7:12" ht="21.75" customHeight="1" x14ac:dyDescent="0.6">
      <c r="G89" s="122" t="s">
        <v>961</v>
      </c>
      <c r="H89" s="125" t="s">
        <v>962</v>
      </c>
      <c r="J89" s="127" t="s">
        <v>963</v>
      </c>
      <c r="K89" s="132" t="s">
        <v>964</v>
      </c>
      <c r="L89" s="125" t="s">
        <v>965</v>
      </c>
    </row>
    <row r="90" spans="7:12" ht="21.75" customHeight="1" x14ac:dyDescent="0.6">
      <c r="G90" s="122" t="s">
        <v>966</v>
      </c>
      <c r="H90" s="125" t="s">
        <v>348</v>
      </c>
      <c r="J90" s="127" t="s">
        <v>967</v>
      </c>
      <c r="K90" s="131" t="s">
        <v>968</v>
      </c>
      <c r="L90" s="125" t="s">
        <v>969</v>
      </c>
    </row>
    <row r="91" spans="7:12" ht="21.75" customHeight="1" x14ac:dyDescent="0.6">
      <c r="G91" s="122" t="s">
        <v>970</v>
      </c>
      <c r="H91" s="125" t="s">
        <v>971</v>
      </c>
      <c r="J91" s="127" t="s">
        <v>972</v>
      </c>
      <c r="K91" s="131" t="s">
        <v>973</v>
      </c>
      <c r="L91" s="125" t="s">
        <v>974</v>
      </c>
    </row>
    <row r="92" spans="7:12" ht="21.75" customHeight="1" x14ac:dyDescent="0.6">
      <c r="G92" s="122" t="s">
        <v>975</v>
      </c>
      <c r="H92" s="125" t="s">
        <v>976</v>
      </c>
      <c r="J92" s="127" t="s">
        <v>977</v>
      </c>
      <c r="K92" s="131" t="s">
        <v>978</v>
      </c>
      <c r="L92" s="125" t="s">
        <v>979</v>
      </c>
    </row>
    <row r="93" spans="7:12" ht="21.75" customHeight="1" x14ac:dyDescent="0.6">
      <c r="G93" s="122" t="s">
        <v>980</v>
      </c>
      <c r="H93" s="125" t="s">
        <v>981</v>
      </c>
      <c r="J93" s="127" t="s">
        <v>982</v>
      </c>
      <c r="K93" s="131" t="s">
        <v>983</v>
      </c>
      <c r="L93" s="125" t="s">
        <v>984</v>
      </c>
    </row>
    <row r="94" spans="7:12" ht="21.75" customHeight="1" x14ac:dyDescent="0.6">
      <c r="G94" s="122" t="s">
        <v>985</v>
      </c>
      <c r="H94" s="125" t="s">
        <v>986</v>
      </c>
      <c r="J94" s="127" t="s">
        <v>987</v>
      </c>
      <c r="K94" s="131" t="s">
        <v>988</v>
      </c>
      <c r="L94" s="125" t="s">
        <v>989</v>
      </c>
    </row>
    <row r="95" spans="7:12" ht="21.75" customHeight="1" x14ac:dyDescent="0.6">
      <c r="G95" s="122" t="s">
        <v>990</v>
      </c>
      <c r="H95" s="125" t="s">
        <v>991</v>
      </c>
      <c r="J95" s="127" t="s">
        <v>992</v>
      </c>
      <c r="K95" s="131" t="s">
        <v>993</v>
      </c>
      <c r="L95" s="125" t="s">
        <v>994</v>
      </c>
    </row>
    <row r="96" spans="7:12" ht="21.75" customHeight="1" x14ac:dyDescent="0.6">
      <c r="G96" s="122" t="s">
        <v>995</v>
      </c>
      <c r="H96" s="125" t="s">
        <v>996</v>
      </c>
    </row>
    <row r="97" spans="7:8" ht="21.75" customHeight="1" x14ac:dyDescent="0.6">
      <c r="G97" s="122" t="s">
        <v>997</v>
      </c>
      <c r="H97" s="125" t="s">
        <v>998</v>
      </c>
    </row>
    <row r="98" spans="7:8" ht="21.75" customHeight="1" x14ac:dyDescent="0.6">
      <c r="G98" s="122" t="s">
        <v>999</v>
      </c>
      <c r="H98" s="125" t="s">
        <v>1000</v>
      </c>
    </row>
    <row r="99" spans="7:8" ht="21.75" customHeight="1" x14ac:dyDescent="0.6">
      <c r="G99" s="122" t="s">
        <v>1001</v>
      </c>
      <c r="H99" s="125" t="s">
        <v>1002</v>
      </c>
    </row>
    <row r="100" spans="7:8" ht="21.75" customHeight="1" x14ac:dyDescent="0.6">
      <c r="G100" s="122" t="s">
        <v>1003</v>
      </c>
      <c r="H100" s="125" t="s">
        <v>1004</v>
      </c>
    </row>
    <row r="101" spans="7:8" ht="21.75" customHeight="1" x14ac:dyDescent="0.6">
      <c r="G101" s="122" t="s">
        <v>1005</v>
      </c>
      <c r="H101" s="125" t="s">
        <v>1006</v>
      </c>
    </row>
    <row r="102" spans="7:8" ht="21.75" customHeight="1" x14ac:dyDescent="0.6">
      <c r="G102" s="122" t="s">
        <v>1007</v>
      </c>
      <c r="H102" s="125" t="s">
        <v>1008</v>
      </c>
    </row>
    <row r="103" spans="7:8" ht="21.75" customHeight="1" x14ac:dyDescent="0.6">
      <c r="G103" s="122" t="s">
        <v>1009</v>
      </c>
      <c r="H103" s="125" t="s">
        <v>1010</v>
      </c>
    </row>
    <row r="104" spans="7:8" ht="21.75" customHeight="1" x14ac:dyDescent="0.6">
      <c r="G104" s="122" t="s">
        <v>1011</v>
      </c>
      <c r="H104" s="125" t="s">
        <v>1012</v>
      </c>
    </row>
    <row r="105" spans="7:8" ht="21.75" customHeight="1" x14ac:dyDescent="0.6">
      <c r="G105" s="122" t="s">
        <v>1013</v>
      </c>
      <c r="H105" s="125" t="s">
        <v>352</v>
      </c>
    </row>
    <row r="106" spans="7:8" ht="21.75" customHeight="1" x14ac:dyDescent="0.6">
      <c r="G106" s="122" t="s">
        <v>1014</v>
      </c>
      <c r="H106" s="125" t="s">
        <v>1015</v>
      </c>
    </row>
    <row r="107" spans="7:8" ht="21.75" customHeight="1" x14ac:dyDescent="0.6">
      <c r="G107" s="122" t="s">
        <v>1016</v>
      </c>
      <c r="H107" s="125" t="s">
        <v>1017</v>
      </c>
    </row>
    <row r="108" spans="7:8" ht="21.75" customHeight="1" x14ac:dyDescent="0.6">
      <c r="G108" s="122" t="s">
        <v>1018</v>
      </c>
      <c r="H108" s="125" t="s">
        <v>1019</v>
      </c>
    </row>
    <row r="109" spans="7:8" ht="21.75" customHeight="1" x14ac:dyDescent="0.6">
      <c r="G109" s="122" t="s">
        <v>1020</v>
      </c>
      <c r="H109" s="125" t="s">
        <v>1021</v>
      </c>
    </row>
    <row r="110" spans="7:8" ht="21.75" customHeight="1" x14ac:dyDescent="0.6">
      <c r="G110" s="122" t="s">
        <v>1022</v>
      </c>
      <c r="H110" s="125" t="s">
        <v>1023</v>
      </c>
    </row>
    <row r="111" spans="7:8" ht="21.75" customHeight="1" x14ac:dyDescent="0.6">
      <c r="G111" s="122" t="s">
        <v>1024</v>
      </c>
      <c r="H111" s="125" t="s">
        <v>1025</v>
      </c>
    </row>
    <row r="112" spans="7:8" ht="21.75" customHeight="1" x14ac:dyDescent="0.6">
      <c r="G112" s="122" t="s">
        <v>1026</v>
      </c>
      <c r="H112" s="125" t="s">
        <v>1027</v>
      </c>
    </row>
    <row r="113" spans="7:8" ht="21.75" customHeight="1" x14ac:dyDescent="0.6">
      <c r="G113" s="122" t="s">
        <v>1028</v>
      </c>
      <c r="H113" s="125" t="s">
        <v>1029</v>
      </c>
    </row>
    <row r="114" spans="7:8" ht="21.75" customHeight="1" x14ac:dyDescent="0.6">
      <c r="G114" s="122" t="s">
        <v>1030</v>
      </c>
      <c r="H114" s="125" t="s">
        <v>1031</v>
      </c>
    </row>
    <row r="115" spans="7:8" ht="21.75" customHeight="1" x14ac:dyDescent="0.6">
      <c r="G115" s="122" t="s">
        <v>1032</v>
      </c>
      <c r="H115" s="125" t="s">
        <v>1033</v>
      </c>
    </row>
    <row r="116" spans="7:8" ht="21.75" customHeight="1" x14ac:dyDescent="0.6">
      <c r="G116" s="122" t="s">
        <v>1034</v>
      </c>
      <c r="H116" s="125" t="s">
        <v>1035</v>
      </c>
    </row>
    <row r="117" spans="7:8" ht="21.75" customHeight="1" x14ac:dyDescent="0.6">
      <c r="G117" s="122" t="s">
        <v>1036</v>
      </c>
      <c r="H117" s="125" t="s">
        <v>1037</v>
      </c>
    </row>
    <row r="118" spans="7:8" ht="21.75" customHeight="1" x14ac:dyDescent="0.6">
      <c r="G118" s="122" t="s">
        <v>1038</v>
      </c>
      <c r="H118" s="125" t="s">
        <v>1039</v>
      </c>
    </row>
    <row r="119" spans="7:8" ht="21.75" customHeight="1" x14ac:dyDescent="0.6">
      <c r="G119" s="122" t="s">
        <v>1040</v>
      </c>
      <c r="H119" s="125" t="s">
        <v>1041</v>
      </c>
    </row>
    <row r="120" spans="7:8" ht="21.75" customHeight="1" x14ac:dyDescent="0.6">
      <c r="G120" s="122" t="s">
        <v>1042</v>
      </c>
      <c r="H120" s="125" t="s">
        <v>1043</v>
      </c>
    </row>
    <row r="121" spans="7:8" ht="21.75" customHeight="1" x14ac:dyDescent="0.6">
      <c r="G121" s="122" t="s">
        <v>1044</v>
      </c>
      <c r="H121" s="125" t="s">
        <v>1045</v>
      </c>
    </row>
    <row r="122" spans="7:8" ht="21.75" customHeight="1" x14ac:dyDescent="0.6">
      <c r="G122" s="122" t="s">
        <v>1046</v>
      </c>
      <c r="H122" s="125" t="s">
        <v>1047</v>
      </c>
    </row>
    <row r="123" spans="7:8" ht="21.75" customHeight="1" x14ac:dyDescent="0.6">
      <c r="G123" s="122" t="s">
        <v>834</v>
      </c>
      <c r="H123" s="125" t="s">
        <v>350</v>
      </c>
    </row>
    <row r="124" spans="7:8" ht="21.75" customHeight="1" x14ac:dyDescent="0.6">
      <c r="G124" s="122" t="s">
        <v>298</v>
      </c>
      <c r="H124" s="125" t="s">
        <v>1048</v>
      </c>
    </row>
  </sheetData>
  <pageMargins left="0.7" right="0.7" top="0.75" bottom="0.75" header="0.3" footer="0.3"/>
  <pageSetup orientation="portrait"/>
  <headerFooter>
    <oddHeader>&amp;L&amp;C&amp;R</oddHeader>
    <oddFooter>&amp;L&amp;C&amp;R</oddFooter>
  </headerFooter>
  <tableParts count="5">
    <tablePart r:id="rId1"/>
    <tablePart r:id="rId2"/>
    <tablePart r:id="rId3"/>
    <tablePart r:id="rId4"/>
    <tablePart r:id="rId5"/>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ED5E4-23E8-D8F7-AB28-6D5FF77ECC08}">
  <dimension ref="A1:F4"/>
  <sheetViews>
    <sheetView workbookViewId="0"/>
  </sheetViews>
  <sheetFormatPr defaultColWidth="9.140625" defaultRowHeight="15" customHeight="1" x14ac:dyDescent="0.25"/>
  <cols>
    <col min="1" max="1" width="14.7109375" customWidth="1"/>
    <col min="2" max="2" width="6.85546875" customWidth="1"/>
    <col min="3" max="3" width="41.140625" customWidth="1"/>
    <col min="4" max="4" width="10.28515625" customWidth="1"/>
    <col min="5" max="5" width="34.140625" customWidth="1"/>
    <col min="6" max="6" width="6.28515625" customWidth="1"/>
  </cols>
  <sheetData>
    <row r="1" spans="1:6" ht="15" customHeight="1" x14ac:dyDescent="0.25">
      <c r="A1" s="139" t="s">
        <v>1049</v>
      </c>
      <c r="B1" s="139" t="s">
        <v>1050</v>
      </c>
      <c r="C1" s="139" t="s">
        <v>404</v>
      </c>
      <c r="D1" s="139" t="s">
        <v>1051</v>
      </c>
      <c r="E1" s="139" t="s">
        <v>1052</v>
      </c>
      <c r="F1" s="139" t="s">
        <v>1053</v>
      </c>
    </row>
    <row r="2" spans="1:6" ht="15" customHeight="1" x14ac:dyDescent="0.25">
      <c r="A2" s="140">
        <v>45830.8983912037</v>
      </c>
      <c r="B2">
        <v>91</v>
      </c>
      <c r="C2" t="s">
        <v>1054</v>
      </c>
      <c r="D2" t="s">
        <v>1055</v>
      </c>
      <c r="E2" t="s">
        <v>1056</v>
      </c>
      <c r="F2">
        <v>8140</v>
      </c>
    </row>
    <row r="3" spans="1:6" ht="15" customHeight="1" x14ac:dyDescent="0.25">
      <c r="A3" s="140">
        <v>45830.8983912037</v>
      </c>
      <c r="B3">
        <v>91</v>
      </c>
      <c r="C3" t="s">
        <v>1054</v>
      </c>
      <c r="D3" t="s">
        <v>1055</v>
      </c>
      <c r="E3" t="s">
        <v>1057</v>
      </c>
      <c r="F3">
        <v>9140</v>
      </c>
    </row>
    <row r="4" spans="1:6" ht="15" customHeight="1" x14ac:dyDescent="0.25">
      <c r="A4" s="140">
        <v>45830.8983912037</v>
      </c>
      <c r="B4">
        <v>91</v>
      </c>
      <c r="C4" t="s">
        <v>1054</v>
      </c>
      <c r="D4" t="s">
        <v>1055</v>
      </c>
      <c r="E4" t="s">
        <v>1058</v>
      </c>
      <c r="F4">
        <v>7160</v>
      </c>
    </row>
  </sheetData>
  <pageMargins left="0.7" right="0.7" top="0.75" bottom="0.75" header="0.3" footer="0.3"/>
  <pageSetup orientation="portrait"/>
  <headerFooter>
    <oddHeader>&amp;L&amp;C&amp;R</oddHeader>
    <oddFooter>&amp;L&amp;C&amp;R</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545A8-D348-9D28-E06C-9078236BC5E8}">
  <sheetPr>
    <tabColor rgb="FF7030A0"/>
  </sheetPr>
  <dimension ref="A1:F27"/>
  <sheetViews>
    <sheetView workbookViewId="0">
      <selection activeCell="B4" sqref="B4"/>
    </sheetView>
  </sheetViews>
  <sheetFormatPr defaultColWidth="9.140625" defaultRowHeight="12.75" customHeight="1" x14ac:dyDescent="0.25"/>
  <cols>
    <col min="1" max="1" width="12.140625" style="141" customWidth="1"/>
    <col min="2" max="2" width="9.140625" style="141" customWidth="1"/>
    <col min="3" max="3" width="28.42578125" style="141" customWidth="1"/>
    <col min="4" max="4" width="7.5703125" style="141" customWidth="1"/>
    <col min="5" max="6" width="8.85546875" style="141" customWidth="1"/>
  </cols>
  <sheetData>
    <row r="1" spans="1:6" ht="15" customHeight="1" x14ac:dyDescent="0.25">
      <c r="A1" s="280" t="s">
        <v>1059</v>
      </c>
      <c r="B1" s="281"/>
      <c r="C1" s="281"/>
      <c r="D1" s="281"/>
      <c r="E1" s="281"/>
      <c r="F1" s="281"/>
    </row>
    <row r="3" spans="1:6" ht="15" customHeight="1" x14ac:dyDescent="0.25">
      <c r="A3" s="142" t="s">
        <v>1060</v>
      </c>
      <c r="B3" s="142" t="s">
        <v>318</v>
      </c>
      <c r="C3" s="142" t="s">
        <v>404</v>
      </c>
      <c r="D3" s="142" t="s">
        <v>1061</v>
      </c>
      <c r="E3" s="142" t="s">
        <v>1062</v>
      </c>
      <c r="F3" s="142" t="s">
        <v>1063</v>
      </c>
    </row>
    <row r="4" spans="1:6" ht="15" customHeight="1" x14ac:dyDescent="0.25">
      <c r="A4" s="143" t="s">
        <v>1064</v>
      </c>
      <c r="B4" s="143" t="s">
        <v>417</v>
      </c>
      <c r="C4" s="143" t="s">
        <v>418</v>
      </c>
      <c r="D4" s="144">
        <v>0</v>
      </c>
      <c r="E4" s="145">
        <v>0</v>
      </c>
      <c r="F4" s="146" t="s">
        <v>364</v>
      </c>
    </row>
    <row r="5" spans="1:6" ht="15" customHeight="1" x14ac:dyDescent="0.25">
      <c r="A5" s="143" t="s">
        <v>1065</v>
      </c>
      <c r="B5" s="143" t="s">
        <v>437</v>
      </c>
      <c r="C5" s="143" t="s">
        <v>438</v>
      </c>
      <c r="D5" s="144">
        <v>0</v>
      </c>
      <c r="E5" s="145">
        <v>0</v>
      </c>
      <c r="F5" s="146" t="s">
        <v>364</v>
      </c>
    </row>
    <row r="6" spans="1:6" ht="15" customHeight="1" x14ac:dyDescent="0.25">
      <c r="A6" s="143" t="s">
        <v>1066</v>
      </c>
      <c r="B6" s="143" t="s">
        <v>515</v>
      </c>
      <c r="C6" s="143" t="s">
        <v>516</v>
      </c>
      <c r="D6" s="144">
        <v>0</v>
      </c>
      <c r="E6" s="145">
        <v>0</v>
      </c>
      <c r="F6" s="146" t="s">
        <v>364</v>
      </c>
    </row>
    <row r="7" spans="1:6" ht="15" customHeight="1" x14ac:dyDescent="0.25">
      <c r="A7" s="143" t="s">
        <v>1067</v>
      </c>
      <c r="B7" s="143" t="s">
        <v>550</v>
      </c>
      <c r="C7" s="143" t="s">
        <v>551</v>
      </c>
      <c r="D7" s="144">
        <v>0</v>
      </c>
      <c r="E7" s="145">
        <v>0</v>
      </c>
      <c r="F7" s="146" t="s">
        <v>364</v>
      </c>
    </row>
    <row r="8" spans="1:6" ht="15" customHeight="1" x14ac:dyDescent="0.25">
      <c r="A8" s="143" t="s">
        <v>1068</v>
      </c>
      <c r="B8" s="143" t="s">
        <v>556</v>
      </c>
      <c r="C8" s="143" t="s">
        <v>557</v>
      </c>
      <c r="D8" s="144">
        <v>0</v>
      </c>
      <c r="E8" s="145">
        <v>0</v>
      </c>
      <c r="F8" s="146" t="s">
        <v>364</v>
      </c>
    </row>
    <row r="9" spans="1:6" ht="15" customHeight="1" x14ac:dyDescent="0.25">
      <c r="A9" s="143" t="s">
        <v>1069</v>
      </c>
      <c r="B9" s="143" t="s">
        <v>562</v>
      </c>
      <c r="C9" s="143" t="s">
        <v>563</v>
      </c>
      <c r="D9" s="144">
        <v>0</v>
      </c>
      <c r="E9" s="145">
        <v>0</v>
      </c>
      <c r="F9" s="146" t="s">
        <v>364</v>
      </c>
    </row>
    <row r="10" spans="1:6" ht="15" customHeight="1" x14ac:dyDescent="0.25">
      <c r="A10" s="143" t="s">
        <v>1070</v>
      </c>
      <c r="B10" s="143" t="s">
        <v>568</v>
      </c>
      <c r="C10" s="143" t="s">
        <v>569</v>
      </c>
      <c r="D10" s="144">
        <v>0</v>
      </c>
      <c r="E10" s="145">
        <v>0</v>
      </c>
      <c r="F10" s="146" t="s">
        <v>364</v>
      </c>
    </row>
    <row r="11" spans="1:6" ht="15" customHeight="1" x14ac:dyDescent="0.25">
      <c r="A11" s="143" t="s">
        <v>1071</v>
      </c>
      <c r="B11" s="143" t="s">
        <v>574</v>
      </c>
      <c r="C11" s="143" t="s">
        <v>575</v>
      </c>
      <c r="D11" s="144">
        <v>0</v>
      </c>
      <c r="E11" s="145">
        <v>0</v>
      </c>
      <c r="F11" s="146" t="s">
        <v>364</v>
      </c>
    </row>
    <row r="12" spans="1:6" ht="15" customHeight="1" x14ac:dyDescent="0.25">
      <c r="A12" s="143" t="s">
        <v>1072</v>
      </c>
      <c r="B12" s="143" t="s">
        <v>587</v>
      </c>
      <c r="C12" s="143" t="s">
        <v>588</v>
      </c>
      <c r="D12" s="144">
        <v>0</v>
      </c>
      <c r="E12" s="145">
        <v>0</v>
      </c>
      <c r="F12" s="146" t="s">
        <v>364</v>
      </c>
    </row>
    <row r="13" spans="1:6" ht="15" customHeight="1" x14ac:dyDescent="0.25">
      <c r="A13" s="143" t="s">
        <v>1073</v>
      </c>
      <c r="B13" s="143" t="s">
        <v>593</v>
      </c>
      <c r="C13" s="143" t="s">
        <v>594</v>
      </c>
      <c r="D13" s="144">
        <v>0</v>
      </c>
      <c r="E13" s="145">
        <v>0</v>
      </c>
      <c r="F13" s="146" t="s">
        <v>364</v>
      </c>
    </row>
    <row r="14" spans="1:6" ht="15" customHeight="1" x14ac:dyDescent="0.25">
      <c r="A14" s="143" t="s">
        <v>1074</v>
      </c>
      <c r="B14" s="143" t="s">
        <v>599</v>
      </c>
      <c r="C14" s="143" t="s">
        <v>600</v>
      </c>
      <c r="D14" s="144">
        <v>0</v>
      </c>
      <c r="E14" s="145">
        <v>0</v>
      </c>
      <c r="F14" s="146" t="s">
        <v>364</v>
      </c>
    </row>
    <row r="15" spans="1:6" ht="15" customHeight="1" x14ac:dyDescent="0.25">
      <c r="A15" s="143" t="s">
        <v>1075</v>
      </c>
      <c r="B15" s="143" t="s">
        <v>638</v>
      </c>
      <c r="C15" s="143" t="s">
        <v>639</v>
      </c>
      <c r="D15" s="144">
        <v>0</v>
      </c>
      <c r="E15" s="145">
        <v>0</v>
      </c>
      <c r="F15" s="146" t="s">
        <v>364</v>
      </c>
    </row>
    <row r="16" spans="1:6" ht="15" customHeight="1" x14ac:dyDescent="0.25">
      <c r="A16" s="143" t="s">
        <v>1076</v>
      </c>
      <c r="B16" s="143" t="s">
        <v>656</v>
      </c>
      <c r="C16" s="143" t="s">
        <v>657</v>
      </c>
      <c r="D16" s="144">
        <v>0</v>
      </c>
      <c r="E16" s="145">
        <v>0</v>
      </c>
      <c r="F16" s="146" t="s">
        <v>364</v>
      </c>
    </row>
    <row r="17" spans="1:6" ht="15" customHeight="1" x14ac:dyDescent="0.25">
      <c r="A17" s="143" t="s">
        <v>1077</v>
      </c>
      <c r="B17" s="143" t="s">
        <v>768</v>
      </c>
      <c r="C17" s="143" t="s">
        <v>769</v>
      </c>
      <c r="D17" s="144">
        <v>0</v>
      </c>
      <c r="E17" s="145">
        <v>0</v>
      </c>
      <c r="F17" s="146" t="s">
        <v>364</v>
      </c>
    </row>
    <row r="18" spans="1:6" ht="15" customHeight="1" x14ac:dyDescent="0.25">
      <c r="A18" s="143" t="s">
        <v>1078</v>
      </c>
      <c r="B18" s="143" t="s">
        <v>780</v>
      </c>
      <c r="C18" s="143" t="s">
        <v>781</v>
      </c>
      <c r="D18" s="144">
        <v>0</v>
      </c>
      <c r="E18" s="145">
        <v>0</v>
      </c>
      <c r="F18" s="146" t="s">
        <v>364</v>
      </c>
    </row>
    <row r="19" spans="1:6" ht="15" customHeight="1" x14ac:dyDescent="0.25">
      <c r="A19" s="143" t="s">
        <v>1079</v>
      </c>
      <c r="B19" s="143" t="s">
        <v>787</v>
      </c>
      <c r="C19" s="143" t="s">
        <v>788</v>
      </c>
      <c r="D19" s="144">
        <v>0</v>
      </c>
      <c r="E19" s="145">
        <v>0</v>
      </c>
      <c r="F19" s="146" t="s">
        <v>364</v>
      </c>
    </row>
    <row r="20" spans="1:6" ht="15" customHeight="1" x14ac:dyDescent="0.25">
      <c r="A20" s="143" t="s">
        <v>1080</v>
      </c>
      <c r="B20" s="143" t="s">
        <v>819</v>
      </c>
      <c r="C20" s="143" t="s">
        <v>820</v>
      </c>
      <c r="D20" s="144">
        <v>0</v>
      </c>
      <c r="E20" s="145">
        <v>0</v>
      </c>
      <c r="F20" s="146" t="s">
        <v>364</v>
      </c>
    </row>
    <row r="21" spans="1:6" ht="15" customHeight="1" x14ac:dyDescent="0.25">
      <c r="A21" s="143" t="s">
        <v>1081</v>
      </c>
      <c r="B21" s="143" t="s">
        <v>845</v>
      </c>
      <c r="C21" s="143" t="s">
        <v>846</v>
      </c>
      <c r="D21" s="144">
        <v>0</v>
      </c>
      <c r="E21" s="145">
        <v>0</v>
      </c>
      <c r="F21" s="146" t="s">
        <v>364</v>
      </c>
    </row>
    <row r="22" spans="1:6" ht="15" customHeight="1" x14ac:dyDescent="0.25">
      <c r="A22" s="143" t="s">
        <v>1082</v>
      </c>
      <c r="B22" s="143" t="s">
        <v>858</v>
      </c>
      <c r="C22" s="143" t="s">
        <v>859</v>
      </c>
      <c r="D22" s="144">
        <v>0</v>
      </c>
      <c r="E22" s="145">
        <v>0</v>
      </c>
      <c r="F22" s="146" t="s">
        <v>364</v>
      </c>
    </row>
    <row r="23" spans="1:6" ht="15" customHeight="1" x14ac:dyDescent="0.25">
      <c r="A23" s="143" t="s">
        <v>1083</v>
      </c>
      <c r="B23" s="143" t="s">
        <v>939</v>
      </c>
      <c r="C23" s="143" t="s">
        <v>940</v>
      </c>
      <c r="D23" s="144">
        <v>0</v>
      </c>
      <c r="E23" s="145">
        <v>0</v>
      </c>
      <c r="F23" s="146" t="s">
        <v>364</v>
      </c>
    </row>
    <row r="24" spans="1:6" ht="15" customHeight="1" x14ac:dyDescent="0.25">
      <c r="A24" s="143" t="s">
        <v>1084</v>
      </c>
      <c r="B24" s="143" t="s">
        <v>948</v>
      </c>
      <c r="C24" s="143" t="s">
        <v>949</v>
      </c>
      <c r="D24" s="144">
        <v>0</v>
      </c>
      <c r="E24" s="145">
        <v>0</v>
      </c>
      <c r="F24" s="146" t="s">
        <v>364</v>
      </c>
    </row>
    <row r="25" spans="1:6" ht="15" customHeight="1" x14ac:dyDescent="0.25">
      <c r="A25" s="143" t="s">
        <v>1085</v>
      </c>
      <c r="B25" s="143" t="s">
        <v>951</v>
      </c>
      <c r="C25" s="143" t="s">
        <v>952</v>
      </c>
      <c r="D25" s="144">
        <v>0</v>
      </c>
      <c r="E25" s="145">
        <v>0</v>
      </c>
      <c r="F25" s="146" t="s">
        <v>364</v>
      </c>
    </row>
    <row r="26" spans="1:6" ht="15" customHeight="1" x14ac:dyDescent="0.25">
      <c r="A26" s="143" t="s">
        <v>1086</v>
      </c>
      <c r="B26" s="143" t="s">
        <v>955</v>
      </c>
      <c r="C26" s="143" t="s">
        <v>956</v>
      </c>
      <c r="D26" s="144">
        <v>0</v>
      </c>
      <c r="E26" s="145">
        <v>0</v>
      </c>
      <c r="F26" s="146" t="s">
        <v>364</v>
      </c>
    </row>
    <row r="27" spans="1:6" ht="15" customHeight="1" x14ac:dyDescent="0.25">
      <c r="A27" s="143" t="s">
        <v>1087</v>
      </c>
      <c r="B27" s="143" t="s">
        <v>973</v>
      </c>
      <c r="C27" s="143" t="s">
        <v>974</v>
      </c>
      <c r="D27" s="144">
        <v>0</v>
      </c>
      <c r="E27" s="145">
        <v>0</v>
      </c>
      <c r="F27" s="146" t="s">
        <v>364</v>
      </c>
    </row>
  </sheetData>
  <mergeCells count="1">
    <mergeCell ref="A1:F1"/>
  </mergeCells>
  <pageMargins left="0.75" right="0.75" top="1" bottom="1" header="0.5" footer="0.5"/>
  <pageSetup pageOrder="overThenDown" orientation="landscape"/>
  <headerFooter>
    <oddHeader>&amp;L&amp;C&amp;R</oddHeader>
    <oddFooter>&amp;L&amp;C&amp;R</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88B68-0A03-1818-AD78-688A1D7647EA}">
  <sheetPr>
    <tabColor theme="0"/>
  </sheetPr>
  <dimension ref="A1:J25"/>
  <sheetViews>
    <sheetView workbookViewId="0">
      <selection activeCell="H19" sqref="H19"/>
    </sheetView>
  </sheetViews>
  <sheetFormatPr defaultColWidth="9.140625" defaultRowHeight="15" customHeight="1" x14ac:dyDescent="0.25"/>
  <cols>
    <col min="1" max="1" width="21.5703125" style="158" customWidth="1"/>
    <col min="2" max="2" width="14.5703125" style="158" customWidth="1"/>
    <col min="3" max="3" width="12.28515625" style="158" customWidth="1"/>
    <col min="4" max="4" width="53.42578125" style="158" customWidth="1"/>
    <col min="5" max="10" width="9.140625" style="158" customWidth="1"/>
  </cols>
  <sheetData>
    <row r="1" spans="1:10" ht="15.75" customHeight="1" x14ac:dyDescent="0.25">
      <c r="C1" s="147" t="s">
        <v>1088</v>
      </c>
      <c r="D1" s="147"/>
      <c r="E1" s="148"/>
    </row>
    <row r="2" spans="1:10" ht="18" customHeight="1" x14ac:dyDescent="0.25">
      <c r="A2" s="149"/>
      <c r="B2" s="150"/>
      <c r="C2" s="151" t="s">
        <v>1089</v>
      </c>
      <c r="D2" s="151" t="s">
        <v>1090</v>
      </c>
      <c r="I2" s="148"/>
    </row>
    <row r="3" spans="1:10" ht="15" customHeight="1" x14ac:dyDescent="0.25">
      <c r="A3" s="152" t="s">
        <v>1091</v>
      </c>
      <c r="B3" s="153"/>
      <c r="C3" s="154"/>
      <c r="D3" s="151"/>
      <c r="I3" s="155"/>
    </row>
    <row r="4" spans="1:10" ht="15" customHeight="1" x14ac:dyDescent="0.25">
      <c r="A4" s="152" t="s">
        <v>1092</v>
      </c>
      <c r="B4" s="153"/>
      <c r="C4" s="153"/>
      <c r="D4" s="153"/>
      <c r="J4" s="155"/>
    </row>
    <row r="5" spans="1:10" ht="15" customHeight="1" x14ac:dyDescent="0.25">
      <c r="A5" s="152" t="s">
        <v>1093</v>
      </c>
      <c r="G5" s="156"/>
    </row>
    <row r="6" spans="1:10" ht="15" customHeight="1" x14ac:dyDescent="0.25">
      <c r="A6" s="157"/>
    </row>
    <row r="7" spans="1:10" ht="15" customHeight="1" x14ac:dyDescent="0.25">
      <c r="A7" s="158" t="s">
        <v>1094</v>
      </c>
      <c r="B7" s="287" t="s">
        <v>1095</v>
      </c>
      <c r="C7" s="287"/>
      <c r="D7" s="287"/>
    </row>
    <row r="8" spans="1:10" ht="15" customHeight="1" x14ac:dyDescent="0.25">
      <c r="A8" s="158" t="s">
        <v>1096</v>
      </c>
      <c r="B8" s="287" t="s">
        <v>1097</v>
      </c>
      <c r="C8" s="287"/>
      <c r="D8" s="287"/>
    </row>
    <row r="9" spans="1:10" ht="15" customHeight="1" x14ac:dyDescent="0.25">
      <c r="A9" s="158" t="s">
        <v>1098</v>
      </c>
      <c r="B9" s="287"/>
      <c r="C9" s="287"/>
      <c r="D9" s="287"/>
    </row>
    <row r="10" spans="1:10" ht="15" customHeight="1" x14ac:dyDescent="0.25">
      <c r="A10" s="158" t="s">
        <v>1099</v>
      </c>
      <c r="B10" s="287"/>
      <c r="C10" s="287"/>
      <c r="D10" s="287"/>
    </row>
    <row r="11" spans="1:10" ht="15" customHeight="1" x14ac:dyDescent="0.25">
      <c r="B11" s="159"/>
      <c r="C11" s="159"/>
      <c r="D11" s="159"/>
      <c r="E11" s="159"/>
      <c r="F11" s="159"/>
      <c r="G11" s="159"/>
      <c r="H11" s="159"/>
      <c r="I11" s="159"/>
    </row>
    <row r="12" spans="1:10" ht="15" customHeight="1" x14ac:dyDescent="0.25">
      <c r="A12" s="160" t="s">
        <v>1100</v>
      </c>
      <c r="B12" s="160"/>
      <c r="D12" s="161"/>
      <c r="E12" s="161"/>
      <c r="F12" s="161"/>
      <c r="G12" s="161"/>
      <c r="H12" s="161"/>
      <c r="I12" s="161"/>
      <c r="J12" s="161"/>
    </row>
    <row r="13" spans="1:10" ht="15" customHeight="1" x14ac:dyDescent="0.25">
      <c r="A13" s="288"/>
      <c r="B13" s="288"/>
      <c r="C13" s="288"/>
      <c r="D13" s="288"/>
    </row>
    <row r="14" spans="1:10" ht="15" customHeight="1" x14ac:dyDescent="0.25">
      <c r="A14" s="288"/>
      <c r="B14" s="288"/>
      <c r="C14" s="288"/>
      <c r="D14" s="288"/>
    </row>
    <row r="15" spans="1:10" ht="135.75" customHeight="1" x14ac:dyDescent="0.25">
      <c r="A15" s="288"/>
      <c r="B15" s="288"/>
      <c r="C15" s="288"/>
      <c r="D15" s="288"/>
    </row>
    <row r="16" spans="1:10" ht="15.75" customHeight="1" x14ac:dyDescent="0.25">
      <c r="A16" s="162"/>
      <c r="B16" s="162"/>
      <c r="C16" s="162"/>
      <c r="D16" s="162"/>
    </row>
    <row r="17" spans="1:5" ht="15.75" customHeight="1" x14ac:dyDescent="0.25">
      <c r="A17" s="289" t="s">
        <v>1101</v>
      </c>
      <c r="B17" s="290"/>
      <c r="C17" s="291"/>
      <c r="D17" s="163">
        <v>935092.12</v>
      </c>
    </row>
    <row r="19" spans="1:5" ht="64.5" customHeight="1" x14ac:dyDescent="0.25">
      <c r="A19" s="282" t="s">
        <v>1102</v>
      </c>
      <c r="B19" s="282"/>
      <c r="C19" s="282"/>
      <c r="D19" s="282"/>
    </row>
    <row r="20" spans="1:5" ht="135.75" customHeight="1" x14ac:dyDescent="0.25">
      <c r="A20" s="283" t="s">
        <v>1103</v>
      </c>
      <c r="B20" s="284"/>
      <c r="C20" s="284"/>
      <c r="D20" s="285"/>
    </row>
    <row r="22" spans="1:5" ht="15" customHeight="1" x14ac:dyDescent="0.25">
      <c r="A22" s="164" t="s">
        <v>1104</v>
      </c>
    </row>
    <row r="23" spans="1:5" ht="15" customHeight="1" x14ac:dyDescent="0.25">
      <c r="A23" s="164"/>
    </row>
    <row r="24" spans="1:5" ht="15" customHeight="1" x14ac:dyDescent="0.25">
      <c r="A24" s="286" t="s">
        <v>1105</v>
      </c>
      <c r="B24" s="286"/>
      <c r="C24" s="286"/>
      <c r="D24" s="165" t="s">
        <v>1106</v>
      </c>
      <c r="E24" s="166"/>
    </row>
    <row r="25" spans="1:5" ht="15" customHeight="1" x14ac:dyDescent="0.25">
      <c r="A25" s="166" t="s">
        <v>1107</v>
      </c>
      <c r="B25" s="166"/>
      <c r="C25" s="166"/>
      <c r="D25" s="165" t="s">
        <v>1089</v>
      </c>
      <c r="E25" s="167"/>
    </row>
  </sheetData>
  <sheetProtection formatCells="0" formatRows="0"/>
  <mergeCells count="9">
    <mergeCell ref="A19:D19"/>
    <mergeCell ref="A20:D20"/>
    <mergeCell ref="A24:C24"/>
    <mergeCell ref="B7:D7"/>
    <mergeCell ref="B8:D8"/>
    <mergeCell ref="B9:D9"/>
    <mergeCell ref="B10:D10"/>
    <mergeCell ref="A13:D15"/>
    <mergeCell ref="A17:C17"/>
  </mergeCells>
  <pageMargins left="0.25" right="0.25" top="0.75" bottom="0.75" header="0.3" footer="0.3"/>
  <pageSetup orientation="portrait"/>
  <headerFooter>
    <oddHeader>&amp;L&amp;C&amp;R</oddHeader>
    <oddFooter>&amp;L&amp;C&amp;R</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233B8-C6DF-5B78-F788-4C216A93ADF6}">
  <sheetPr>
    <tabColor theme="0"/>
  </sheetPr>
  <dimension ref="A1:AE70"/>
  <sheetViews>
    <sheetView showGridLines="0" zoomScale="85" workbookViewId="0">
      <selection activeCell="K16" sqref="K16"/>
    </sheetView>
  </sheetViews>
  <sheetFormatPr defaultColWidth="9.140625" defaultRowHeight="16.5" customHeight="1" x14ac:dyDescent="0.3"/>
  <cols>
    <col min="1" max="1" width="8" style="188" customWidth="1"/>
    <col min="2" max="2" width="9.140625" style="188" customWidth="1"/>
    <col min="3" max="3" width="9.5703125" style="188" customWidth="1"/>
    <col min="4" max="5" width="9.140625" style="188" customWidth="1"/>
    <col min="6" max="6" width="10.28515625" style="188" customWidth="1"/>
    <col min="7" max="7" width="6.28515625" style="188" customWidth="1"/>
    <col min="8" max="8" width="9.140625" style="188" customWidth="1"/>
    <col min="9" max="9" width="17.85546875" style="188" customWidth="1"/>
    <col min="10" max="10" width="7" style="188" customWidth="1"/>
    <col min="11" max="11" width="11.140625" style="188" customWidth="1"/>
    <col min="12" max="12" width="9.85546875" style="188" customWidth="1"/>
    <col min="13" max="13" width="8.5703125" style="188" customWidth="1"/>
    <col min="14" max="14" width="9.140625" style="269" hidden="1" customWidth="1"/>
    <col min="15" max="17" width="9.140625" style="188" customWidth="1"/>
    <col min="18" max="18" width="5" style="188" customWidth="1"/>
    <col min="19" max="19" width="9.140625" style="188" customWidth="1"/>
    <col min="20" max="20" width="7.5703125" style="188" customWidth="1"/>
    <col min="21" max="21" width="20.85546875" style="188" customWidth="1"/>
    <col min="22" max="26" width="12.7109375" style="188" customWidth="1"/>
    <col min="27" max="27" width="12.7109375" style="188" hidden="1" customWidth="1"/>
    <col min="28" max="28" width="9.140625" style="188" customWidth="1"/>
    <col min="29" max="30" width="12" style="188" customWidth="1"/>
    <col min="31" max="31" width="14.140625" style="188" customWidth="1"/>
  </cols>
  <sheetData>
    <row r="1" spans="1:31" ht="16.5" customHeight="1" x14ac:dyDescent="0.3">
      <c r="A1" s="168"/>
      <c r="B1" s="168"/>
      <c r="C1" s="168"/>
      <c r="D1" s="168"/>
      <c r="E1" s="169" t="s">
        <v>1108</v>
      </c>
      <c r="F1" s="169"/>
      <c r="G1" s="170" t="s">
        <v>1109</v>
      </c>
      <c r="H1" s="331" t="s">
        <v>1110</v>
      </c>
      <c r="I1" s="331"/>
      <c r="J1" s="169"/>
      <c r="K1" s="170" t="s">
        <v>1111</v>
      </c>
      <c r="L1" s="171">
        <v>5</v>
      </c>
      <c r="M1" s="169"/>
      <c r="O1" s="168"/>
      <c r="P1" s="168"/>
      <c r="Q1" s="168"/>
      <c r="R1" s="168"/>
      <c r="S1" s="169" t="s">
        <v>1108</v>
      </c>
      <c r="T1" s="169"/>
      <c r="U1" s="170" t="s">
        <v>1109</v>
      </c>
      <c r="V1" s="172" t="str">
        <f t="shared" ref="V1:Z4" si="0">H1</f>
        <v>121 Tech Owner LLC</v>
      </c>
      <c r="W1" s="172"/>
      <c r="X1" s="169"/>
      <c r="Y1" s="170" t="s">
        <v>1111</v>
      </c>
      <c r="Z1" s="171">
        <f t="shared" si="0"/>
        <v>5</v>
      </c>
      <c r="AA1" s="169"/>
    </row>
    <row r="2" spans="1:31" ht="16.5" customHeight="1" x14ac:dyDescent="0.3">
      <c r="A2" s="168"/>
      <c r="B2" s="168"/>
      <c r="C2" s="168"/>
      <c r="D2" s="168"/>
      <c r="E2" s="169" t="s">
        <v>1112</v>
      </c>
      <c r="F2" s="169"/>
      <c r="G2" s="169"/>
      <c r="H2" s="332" t="s">
        <v>1112</v>
      </c>
      <c r="I2" s="332"/>
      <c r="J2" s="169"/>
      <c r="K2" s="170" t="s">
        <v>1113</v>
      </c>
      <c r="L2" s="173">
        <f ca="1">TODAY()</f>
        <v>45872</v>
      </c>
      <c r="M2" s="174"/>
      <c r="O2" s="168"/>
      <c r="P2" s="168"/>
      <c r="Q2" s="168"/>
      <c r="R2" s="168"/>
      <c r="S2" s="169" t="s">
        <v>1112</v>
      </c>
      <c r="T2" s="169"/>
      <c r="U2" s="169"/>
      <c r="V2" s="332" t="str">
        <f t="shared" si="0"/>
        <v>55 Cambridge Street</v>
      </c>
      <c r="W2" s="332"/>
      <c r="X2" s="169"/>
      <c r="Y2" s="170" t="s">
        <v>1113</v>
      </c>
      <c r="Z2" s="173">
        <f t="shared" ca="1" si="0"/>
        <v>45872</v>
      </c>
      <c r="AA2" s="174"/>
    </row>
    <row r="3" spans="1:31" ht="16.5" customHeight="1" x14ac:dyDescent="0.3">
      <c r="A3" s="168"/>
      <c r="B3" s="168"/>
      <c r="C3" s="168"/>
      <c r="D3" s="168"/>
      <c r="E3" s="169" t="s">
        <v>1114</v>
      </c>
      <c r="F3" s="169"/>
      <c r="G3" s="169"/>
      <c r="H3" s="332" t="s">
        <v>1114</v>
      </c>
      <c r="I3" s="332"/>
      <c r="J3" s="169"/>
      <c r="K3" s="170" t="s">
        <v>1115</v>
      </c>
      <c r="L3" s="173">
        <v>45231</v>
      </c>
      <c r="M3" s="175"/>
      <c r="O3" s="168"/>
      <c r="P3" s="168"/>
      <c r="Q3" s="168"/>
      <c r="R3" s="168"/>
      <c r="S3" s="169" t="s">
        <v>1114</v>
      </c>
      <c r="T3" s="169"/>
      <c r="U3" s="169"/>
      <c r="V3" s="332" t="str">
        <f t="shared" si="0"/>
        <v>Burlington, MA 01803</v>
      </c>
      <c r="W3" s="332"/>
      <c r="X3" s="169"/>
      <c r="Y3" s="170" t="s">
        <v>1115</v>
      </c>
      <c r="Z3" s="173">
        <f t="shared" si="0"/>
        <v>45231</v>
      </c>
      <c r="AA3" s="175"/>
    </row>
    <row r="4" spans="1:31" ht="16.5" customHeight="1" x14ac:dyDescent="0.3">
      <c r="A4" s="168"/>
      <c r="B4" s="168"/>
      <c r="C4" s="168"/>
      <c r="D4" s="168"/>
      <c r="E4" s="169" t="s">
        <v>1116</v>
      </c>
      <c r="F4" s="169"/>
      <c r="G4" s="170" t="s">
        <v>1094</v>
      </c>
      <c r="H4" s="172" t="s">
        <v>1117</v>
      </c>
      <c r="I4" s="172"/>
      <c r="J4" s="169"/>
      <c r="K4" s="170" t="s">
        <v>1118</v>
      </c>
      <c r="L4" s="173">
        <v>45291</v>
      </c>
      <c r="M4" s="175"/>
      <c r="O4" s="168"/>
      <c r="P4" s="168"/>
      <c r="Q4" s="168"/>
      <c r="R4" s="168"/>
      <c r="S4" s="169" t="s">
        <v>1116</v>
      </c>
      <c r="T4" s="169"/>
      <c r="U4" s="170" t="s">
        <v>1094</v>
      </c>
      <c r="V4" s="172" t="str">
        <f t="shared" si="0"/>
        <v xml:space="preserve">Brazonics GC </v>
      </c>
      <c r="W4" s="172"/>
      <c r="X4" s="169"/>
      <c r="Y4" s="170" t="s">
        <v>1118</v>
      </c>
      <c r="Z4" s="173">
        <f t="shared" si="0"/>
        <v>45291</v>
      </c>
      <c r="AA4" s="175"/>
    </row>
    <row r="5" spans="1:31" ht="17.25" customHeight="1" x14ac:dyDescent="0.3">
      <c r="A5" s="176"/>
      <c r="B5" s="176"/>
      <c r="C5" s="176"/>
      <c r="D5" s="176"/>
      <c r="E5" s="176"/>
      <c r="F5" s="176"/>
      <c r="G5" s="176"/>
      <c r="H5" s="176"/>
      <c r="I5" s="176"/>
      <c r="J5" s="176"/>
      <c r="K5" s="176"/>
      <c r="L5" s="176"/>
      <c r="M5" s="176"/>
      <c r="O5" s="176"/>
      <c r="P5" s="176"/>
      <c r="Q5" s="176"/>
      <c r="R5" s="176"/>
      <c r="S5" s="176"/>
      <c r="T5" s="176"/>
      <c r="U5" s="176"/>
      <c r="V5" s="176"/>
      <c r="W5" s="177" t="s">
        <v>1119</v>
      </c>
      <c r="X5" s="177" t="s">
        <v>1119</v>
      </c>
      <c r="Y5" s="176"/>
      <c r="Z5" s="176"/>
      <c r="AA5" s="176"/>
    </row>
    <row r="6" spans="1:31" ht="18.75" customHeight="1" x14ac:dyDescent="0.3">
      <c r="A6" s="330" t="s">
        <v>1120</v>
      </c>
      <c r="B6" s="330"/>
      <c r="C6" s="330"/>
      <c r="D6" s="330"/>
      <c r="E6" s="330"/>
      <c r="F6" s="330"/>
      <c r="G6" s="330"/>
      <c r="H6" s="330"/>
      <c r="I6" s="330"/>
      <c r="J6" s="330"/>
      <c r="K6" s="330"/>
      <c r="L6" s="330"/>
      <c r="M6" s="330"/>
      <c r="N6" s="330" t="s">
        <v>1121</v>
      </c>
      <c r="O6" s="330"/>
      <c r="P6" s="330"/>
      <c r="Q6" s="330"/>
      <c r="R6" s="330"/>
      <c r="S6" s="330"/>
      <c r="T6" s="330"/>
      <c r="U6" s="330"/>
      <c r="V6" s="330"/>
      <c r="W6" s="330"/>
      <c r="X6" s="330"/>
      <c r="Y6" s="330"/>
      <c r="Z6" s="330"/>
      <c r="AA6" s="330"/>
    </row>
    <row r="7" spans="1:31" ht="16.5" customHeight="1" x14ac:dyDescent="0.3">
      <c r="A7" s="169"/>
      <c r="B7" s="169"/>
      <c r="C7" s="169"/>
      <c r="D7" s="169"/>
      <c r="E7" s="169"/>
      <c r="F7" s="169"/>
      <c r="G7" s="169"/>
      <c r="H7" s="169"/>
      <c r="I7" s="169"/>
      <c r="J7" s="169"/>
      <c r="K7" s="169"/>
      <c r="L7" s="169"/>
      <c r="M7" s="169"/>
      <c r="N7" s="325" t="s">
        <v>1122</v>
      </c>
      <c r="O7" s="178"/>
      <c r="P7" s="326" t="s">
        <v>404</v>
      </c>
      <c r="Q7" s="327"/>
      <c r="R7" s="327"/>
      <c r="S7" s="327"/>
      <c r="T7" s="327"/>
      <c r="U7" s="320" t="s">
        <v>1123</v>
      </c>
      <c r="V7" s="320" t="s">
        <v>1124</v>
      </c>
      <c r="W7" s="320" t="s">
        <v>1125</v>
      </c>
      <c r="X7" s="320" t="s">
        <v>381</v>
      </c>
      <c r="Y7" s="318" t="s">
        <v>1126</v>
      </c>
      <c r="Z7" s="320" t="s">
        <v>1127</v>
      </c>
      <c r="AA7" s="320" t="s">
        <v>1128</v>
      </c>
      <c r="AB7" s="169"/>
      <c r="AC7" s="169"/>
    </row>
    <row r="8" spans="1:31" ht="16.5" customHeight="1" x14ac:dyDescent="0.3">
      <c r="A8" s="179" t="s">
        <v>1129</v>
      </c>
      <c r="B8" s="179"/>
      <c r="C8" s="179"/>
      <c r="D8" s="322" t="s">
        <v>1130</v>
      </c>
      <c r="E8" s="322"/>
      <c r="F8" s="322" t="s">
        <v>1131</v>
      </c>
      <c r="G8" s="322"/>
      <c r="H8" s="169"/>
      <c r="I8" s="323" t="s">
        <v>1132</v>
      </c>
      <c r="J8" s="323"/>
      <c r="K8" s="323"/>
      <c r="L8" s="324">
        <f>U37</f>
        <v>9374183.4499999993</v>
      </c>
      <c r="M8" s="324"/>
      <c r="N8" s="325"/>
      <c r="O8" s="180"/>
      <c r="P8" s="328"/>
      <c r="Q8" s="329"/>
      <c r="R8" s="329"/>
      <c r="S8" s="329"/>
      <c r="T8" s="329"/>
      <c r="U8" s="321"/>
      <c r="V8" s="321"/>
      <c r="W8" s="321"/>
      <c r="X8" s="321"/>
      <c r="Y8" s="319"/>
      <c r="Z8" s="321"/>
      <c r="AA8" s="321"/>
      <c r="AB8" s="169"/>
      <c r="AC8" s="169"/>
    </row>
    <row r="9" spans="1:31" ht="16.5" customHeight="1" x14ac:dyDescent="0.3">
      <c r="A9" s="181" t="s">
        <v>1133</v>
      </c>
      <c r="B9" s="181"/>
      <c r="C9" s="181"/>
      <c r="D9" s="314"/>
      <c r="E9" s="314"/>
      <c r="F9" s="317"/>
      <c r="G9" s="317"/>
      <c r="H9" s="169"/>
      <c r="I9" s="182" t="s">
        <v>1134</v>
      </c>
      <c r="J9" s="182"/>
      <c r="K9" s="182"/>
      <c r="L9" s="295">
        <f>SUM(D14:G14)</f>
        <v>0</v>
      </c>
      <c r="M9" s="295"/>
      <c r="N9" s="183" t="s">
        <v>599</v>
      </c>
      <c r="O9" s="184"/>
      <c r="P9" s="184" t="s">
        <v>1135</v>
      </c>
      <c r="Q9" s="185"/>
      <c r="R9" s="185"/>
      <c r="S9" s="185"/>
      <c r="T9" s="185"/>
      <c r="U9" s="186">
        <v>92409.5</v>
      </c>
      <c r="V9" s="186" t="e">
        <f t="shared" ref="V9:V35" si="1">X9-W9</f>
        <v>#VALUE!</v>
      </c>
      <c r="W9" s="186" t="e">
        <v>#VALUE!</v>
      </c>
      <c r="X9" s="186" t="e">
        <v>#VALUE!</v>
      </c>
      <c r="Y9" s="187" t="e">
        <f t="shared" ref="Y9:Y37" si="2">X9/U9</f>
        <v>#VALUE!</v>
      </c>
      <c r="Z9" s="186" t="e">
        <f t="shared" ref="Z9:Z37" si="3">U9-X9</f>
        <v>#VALUE!</v>
      </c>
      <c r="AA9" s="186">
        <v>0</v>
      </c>
      <c r="AB9" s="169"/>
      <c r="AC9" s="169"/>
      <c r="AD9" s="188" t="e">
        <v>#VALUE!</v>
      </c>
      <c r="AE9" s="188" t="s">
        <v>1136</v>
      </c>
    </row>
    <row r="10" spans="1:31" ht="16.5" customHeight="1" x14ac:dyDescent="0.3">
      <c r="A10" s="181" t="s">
        <v>1137</v>
      </c>
      <c r="B10" s="181"/>
      <c r="C10" s="181"/>
      <c r="D10" s="314"/>
      <c r="E10" s="314"/>
      <c r="F10" s="314"/>
      <c r="G10" s="314"/>
      <c r="H10" s="169"/>
      <c r="I10" s="182" t="s">
        <v>1138</v>
      </c>
      <c r="J10" s="182"/>
      <c r="K10" s="182"/>
      <c r="L10" s="295">
        <f>L8+L9</f>
        <v>9374183.4499999993</v>
      </c>
      <c r="M10" s="295"/>
      <c r="N10" s="183" t="s">
        <v>656</v>
      </c>
      <c r="O10" s="189"/>
      <c r="P10" s="189" t="s">
        <v>1139</v>
      </c>
      <c r="Q10" s="185"/>
      <c r="R10" s="185"/>
      <c r="S10" s="185"/>
      <c r="T10" s="185"/>
      <c r="U10" s="186">
        <v>261545</v>
      </c>
      <c r="V10" s="186" t="e">
        <f t="shared" si="1"/>
        <v>#VALUE!</v>
      </c>
      <c r="W10" s="186" t="e">
        <v>#VALUE!</v>
      </c>
      <c r="X10" s="186" t="e">
        <v>#VALUE!</v>
      </c>
      <c r="Y10" s="187" t="e">
        <f t="shared" si="2"/>
        <v>#VALUE!</v>
      </c>
      <c r="Z10" s="186" t="e">
        <f t="shared" si="3"/>
        <v>#VALUE!</v>
      </c>
      <c r="AA10" s="186">
        <v>0</v>
      </c>
      <c r="AB10" s="169"/>
      <c r="AC10" s="169"/>
    </row>
    <row r="11" spans="1:31" ht="16.5" customHeight="1" x14ac:dyDescent="0.3">
      <c r="A11" s="169"/>
      <c r="B11" s="169"/>
      <c r="C11" s="170" t="s">
        <v>1140</v>
      </c>
      <c r="D11" s="314">
        <f t="shared" ref="D11:F11" si="4">SUM(D9:E10)</f>
        <v>0</v>
      </c>
      <c r="E11" s="314"/>
      <c r="F11" s="314">
        <f t="shared" si="4"/>
        <v>0</v>
      </c>
      <c r="G11" s="314"/>
      <c r="H11" s="169"/>
      <c r="I11" s="182" t="s">
        <v>1141</v>
      </c>
      <c r="J11" s="182"/>
      <c r="K11" s="182"/>
      <c r="L11" s="295" t="e">
        <f>X37</f>
        <v>#VALUE!</v>
      </c>
      <c r="M11" s="295"/>
      <c r="N11" s="183" t="s">
        <v>691</v>
      </c>
      <c r="O11" s="189"/>
      <c r="P11" s="189" t="s">
        <v>1142</v>
      </c>
      <c r="Q11" s="185"/>
      <c r="R11" s="185"/>
      <c r="S11" s="185"/>
      <c r="T11" s="185"/>
      <c r="U11" s="186">
        <v>374142.2</v>
      </c>
      <c r="V11" s="186" t="e">
        <f t="shared" si="1"/>
        <v>#VALUE!</v>
      </c>
      <c r="W11" s="186" t="e">
        <v>#VALUE!</v>
      </c>
      <c r="X11" s="186" t="e">
        <v>#VALUE!</v>
      </c>
      <c r="Y11" s="187" t="e">
        <f t="shared" si="2"/>
        <v>#VALUE!</v>
      </c>
      <c r="Z11" s="186" t="e">
        <f t="shared" si="3"/>
        <v>#VALUE!</v>
      </c>
      <c r="AA11" s="186">
        <v>0</v>
      </c>
      <c r="AB11" s="169"/>
      <c r="AC11" s="169"/>
    </row>
    <row r="12" spans="1:31" ht="16.5" customHeight="1" x14ac:dyDescent="0.3">
      <c r="A12" s="169" t="s">
        <v>1143</v>
      </c>
      <c r="B12" s="169"/>
      <c r="C12" s="169"/>
      <c r="D12" s="314">
        <f t="shared" ref="D12:F12" si="5">D11</f>
        <v>0</v>
      </c>
      <c r="E12" s="314"/>
      <c r="F12" s="314">
        <f t="shared" si="5"/>
        <v>0</v>
      </c>
      <c r="G12" s="314"/>
      <c r="H12" s="190"/>
      <c r="I12" s="191">
        <v>0.05</v>
      </c>
      <c r="J12" s="192" t="s">
        <v>1144</v>
      </c>
      <c r="K12" s="192"/>
      <c r="L12" s="316">
        <f>AA37</f>
        <v>0</v>
      </c>
      <c r="M12" s="316"/>
      <c r="N12" s="183" t="s">
        <v>712</v>
      </c>
      <c r="O12" s="184"/>
      <c r="P12" s="184" t="s">
        <v>1145</v>
      </c>
      <c r="Q12" s="185"/>
      <c r="R12" s="185"/>
      <c r="S12" s="185"/>
      <c r="T12" s="185"/>
      <c r="U12" s="186">
        <v>149550</v>
      </c>
      <c r="V12" s="186" t="e">
        <f t="shared" si="1"/>
        <v>#VALUE!</v>
      </c>
      <c r="W12" s="186" t="e">
        <v>#VALUE!</v>
      </c>
      <c r="X12" s="186" t="e">
        <v>#VALUE!</v>
      </c>
      <c r="Y12" s="187" t="e">
        <f t="shared" si="2"/>
        <v>#VALUE!</v>
      </c>
      <c r="Z12" s="186" t="e">
        <f t="shared" si="3"/>
        <v>#VALUE!</v>
      </c>
      <c r="AA12" s="186">
        <v>0</v>
      </c>
      <c r="AB12" s="169"/>
      <c r="AC12" s="169"/>
      <c r="AD12" s="193"/>
    </row>
    <row r="13" spans="1:31" ht="16.5" customHeight="1" x14ac:dyDescent="0.3">
      <c r="A13" s="169"/>
      <c r="B13" s="169"/>
      <c r="C13" s="169"/>
      <c r="D13" s="314"/>
      <c r="E13" s="314"/>
      <c r="F13" s="314"/>
      <c r="G13" s="314"/>
      <c r="H13" s="169"/>
      <c r="I13" s="182" t="s">
        <v>1146</v>
      </c>
      <c r="J13" s="182"/>
      <c r="K13" s="182"/>
      <c r="L13" s="295" t="e">
        <f t="shared" ref="L13:L15" si="6">L11-L12</f>
        <v>#VALUE!</v>
      </c>
      <c r="M13" s="295"/>
      <c r="N13" s="183" t="s">
        <v>883</v>
      </c>
      <c r="O13" s="184"/>
      <c r="P13" s="184" t="s">
        <v>1147</v>
      </c>
      <c r="Q13" s="185"/>
      <c r="R13" s="185"/>
      <c r="S13" s="185"/>
      <c r="T13" s="185"/>
      <c r="U13" s="186">
        <v>29333</v>
      </c>
      <c r="V13" s="186" t="e">
        <f t="shared" si="1"/>
        <v>#VALUE!</v>
      </c>
      <c r="W13" s="186" t="e">
        <v>#VALUE!</v>
      </c>
      <c r="X13" s="186" t="e">
        <v>#VALUE!</v>
      </c>
      <c r="Y13" s="187" t="e">
        <f t="shared" si="2"/>
        <v>#VALUE!</v>
      </c>
      <c r="Z13" s="186" t="e">
        <f t="shared" si="3"/>
        <v>#VALUE!</v>
      </c>
      <c r="AA13" s="186">
        <v>0</v>
      </c>
      <c r="AB13" s="169"/>
      <c r="AC13" s="169"/>
    </row>
    <row r="14" spans="1:31" ht="16.5" customHeight="1" x14ac:dyDescent="0.3">
      <c r="A14" s="169" t="s">
        <v>1148</v>
      </c>
      <c r="B14" s="169"/>
      <c r="C14" s="169"/>
      <c r="D14" s="314">
        <f t="shared" ref="D14:F14" si="7">D11-D13</f>
        <v>0</v>
      </c>
      <c r="E14" s="314"/>
      <c r="F14" s="314">
        <f t="shared" si="7"/>
        <v>0</v>
      </c>
      <c r="G14" s="314"/>
      <c r="H14" s="169"/>
      <c r="I14" s="182" t="s">
        <v>1149</v>
      </c>
      <c r="J14" s="182"/>
      <c r="K14" s="182"/>
      <c r="L14" s="295" t="e">
        <f>V37</f>
        <v>#VALUE!</v>
      </c>
      <c r="M14" s="315"/>
      <c r="N14" s="183" t="s">
        <v>768</v>
      </c>
      <c r="O14" s="189"/>
      <c r="P14" s="189" t="s">
        <v>1150</v>
      </c>
      <c r="Q14" s="185"/>
      <c r="R14" s="185"/>
      <c r="S14" s="185"/>
      <c r="T14" s="185"/>
      <c r="U14" s="186">
        <v>62500</v>
      </c>
      <c r="V14" s="186" t="e">
        <f t="shared" si="1"/>
        <v>#VALUE!</v>
      </c>
      <c r="W14" s="186" t="e">
        <v>#VALUE!</v>
      </c>
      <c r="X14" s="186" t="e">
        <v>#VALUE!</v>
      </c>
      <c r="Y14" s="187" t="e">
        <f t="shared" si="2"/>
        <v>#VALUE!</v>
      </c>
      <c r="Z14" s="186" t="e">
        <f t="shared" si="3"/>
        <v>#VALUE!</v>
      </c>
      <c r="AA14" s="186">
        <v>0</v>
      </c>
      <c r="AB14" s="169"/>
      <c r="AC14" s="169"/>
    </row>
    <row r="15" spans="1:31" ht="16.5" customHeight="1" x14ac:dyDescent="0.3">
      <c r="A15" s="169"/>
      <c r="B15" s="169"/>
      <c r="C15" s="169"/>
      <c r="D15" s="169"/>
      <c r="E15" s="169"/>
      <c r="F15" s="169"/>
      <c r="G15" s="169"/>
      <c r="H15" s="169"/>
      <c r="I15" s="179" t="s">
        <v>1151</v>
      </c>
      <c r="J15" s="179"/>
      <c r="K15" s="179"/>
      <c r="L15" s="293" t="e">
        <f t="shared" si="6"/>
        <v>#VALUE!</v>
      </c>
      <c r="M15" s="294"/>
      <c r="N15" s="183" t="s">
        <v>780</v>
      </c>
      <c r="O15" s="184"/>
      <c r="P15" s="184" t="s">
        <v>781</v>
      </c>
      <c r="Q15" s="185"/>
      <c r="R15" s="185"/>
      <c r="S15" s="185"/>
      <c r="T15" s="185"/>
      <c r="U15" s="186">
        <v>116266.4</v>
      </c>
      <c r="V15" s="186" t="e">
        <f t="shared" si="1"/>
        <v>#VALUE!</v>
      </c>
      <c r="W15" s="186" t="e">
        <v>#VALUE!</v>
      </c>
      <c r="X15" s="186" t="e">
        <v>#VALUE!</v>
      </c>
      <c r="Y15" s="187" t="e">
        <f t="shared" si="2"/>
        <v>#VALUE!</v>
      </c>
      <c r="Z15" s="186" t="e">
        <f t="shared" si="3"/>
        <v>#VALUE!</v>
      </c>
      <c r="AA15" s="186">
        <v>0</v>
      </c>
      <c r="AB15" s="169"/>
      <c r="AC15" s="169"/>
    </row>
    <row r="16" spans="1:31" ht="16.5" customHeight="1" x14ac:dyDescent="0.3">
      <c r="A16" s="169"/>
      <c r="B16" s="169"/>
      <c r="C16" s="169"/>
      <c r="D16" s="169"/>
      <c r="E16" s="169"/>
      <c r="F16" s="169"/>
      <c r="G16" s="169"/>
      <c r="H16" s="169"/>
      <c r="I16" s="182" t="s">
        <v>1152</v>
      </c>
      <c r="J16" s="182"/>
      <c r="K16" s="182"/>
      <c r="L16" s="295" t="e">
        <f>L10-L14-L15</f>
        <v>#VALUE!</v>
      </c>
      <c r="M16" s="295"/>
      <c r="N16" s="183" t="s">
        <v>787</v>
      </c>
      <c r="O16" s="184"/>
      <c r="P16" s="184" t="s">
        <v>1153</v>
      </c>
      <c r="Q16" s="185"/>
      <c r="R16" s="185"/>
      <c r="S16" s="185"/>
      <c r="T16" s="185"/>
      <c r="U16" s="186">
        <v>138177.68</v>
      </c>
      <c r="V16" s="186" t="e">
        <f t="shared" si="1"/>
        <v>#VALUE!</v>
      </c>
      <c r="W16" s="186" t="e">
        <v>#VALUE!</v>
      </c>
      <c r="X16" s="186" t="e">
        <v>#VALUE!</v>
      </c>
      <c r="Y16" s="187" t="e">
        <f t="shared" si="2"/>
        <v>#VALUE!</v>
      </c>
      <c r="Z16" s="186" t="e">
        <f t="shared" si="3"/>
        <v>#VALUE!</v>
      </c>
      <c r="AA16" s="186">
        <v>0</v>
      </c>
      <c r="AB16" s="169"/>
      <c r="AC16" s="169"/>
    </row>
    <row r="17" spans="1:31" ht="16.5" customHeight="1" x14ac:dyDescent="0.3">
      <c r="A17" s="169"/>
      <c r="B17" s="194"/>
      <c r="C17" s="194"/>
      <c r="D17" s="194"/>
      <c r="E17" s="194"/>
      <c r="F17" s="194"/>
      <c r="G17" s="169"/>
      <c r="H17" s="169"/>
      <c r="I17" s="169"/>
      <c r="J17" s="169"/>
      <c r="K17" s="169"/>
      <c r="L17" s="169"/>
      <c r="M17" s="169"/>
      <c r="N17" s="183" t="s">
        <v>813</v>
      </c>
      <c r="O17" s="184"/>
      <c r="P17" s="184" t="s">
        <v>814</v>
      </c>
      <c r="Q17" s="185"/>
      <c r="R17" s="185"/>
      <c r="S17" s="185"/>
      <c r="T17" s="185"/>
      <c r="U17" s="186">
        <v>40697.410000000003</v>
      </c>
      <c r="V17" s="186" t="e">
        <f t="shared" si="1"/>
        <v>#VALUE!</v>
      </c>
      <c r="W17" s="186" t="e">
        <v>#VALUE!</v>
      </c>
      <c r="X17" s="186" t="e">
        <v>#VALUE!</v>
      </c>
      <c r="Y17" s="187" t="e">
        <f t="shared" si="2"/>
        <v>#VALUE!</v>
      </c>
      <c r="Z17" s="186" t="e">
        <f t="shared" si="3"/>
        <v>#VALUE!</v>
      </c>
      <c r="AA17" s="186">
        <v>0</v>
      </c>
      <c r="AB17" s="169"/>
      <c r="AC17" s="169"/>
    </row>
    <row r="18" spans="1:31" ht="16.5" customHeight="1" x14ac:dyDescent="0.3">
      <c r="A18" s="169"/>
      <c r="B18" s="195" t="s">
        <v>1154</v>
      </c>
      <c r="C18" s="194"/>
      <c r="D18" s="194"/>
      <c r="E18" s="194"/>
      <c r="F18" s="194"/>
      <c r="G18" s="169"/>
      <c r="H18" s="196" t="s">
        <v>1151</v>
      </c>
      <c r="I18" s="197"/>
      <c r="J18" s="197"/>
      <c r="K18" s="197"/>
      <c r="L18" s="197"/>
      <c r="M18" s="169"/>
      <c r="N18" s="183" t="s">
        <v>819</v>
      </c>
      <c r="O18" s="184"/>
      <c r="P18" s="184" t="s">
        <v>1155</v>
      </c>
      <c r="Q18" s="185"/>
      <c r="R18" s="185"/>
      <c r="S18" s="185"/>
      <c r="T18" s="185"/>
      <c r="U18" s="186">
        <v>802775</v>
      </c>
      <c r="V18" s="186" t="e">
        <f t="shared" si="1"/>
        <v>#VALUE!</v>
      </c>
      <c r="W18" s="186" t="e">
        <v>#VALUE!</v>
      </c>
      <c r="X18" s="186" t="e">
        <v>#VALUE!</v>
      </c>
      <c r="Y18" s="187" t="e">
        <f t="shared" si="2"/>
        <v>#VALUE!</v>
      </c>
      <c r="Z18" s="186" t="e">
        <f t="shared" si="3"/>
        <v>#VALUE!</v>
      </c>
      <c r="AA18" s="186">
        <v>0</v>
      </c>
      <c r="AB18" s="169"/>
      <c r="AC18" s="169"/>
    </row>
    <row r="19" spans="1:31" ht="16.5" customHeight="1" x14ac:dyDescent="0.3">
      <c r="A19" s="169"/>
      <c r="B19" s="296" t="s">
        <v>1156</v>
      </c>
      <c r="C19" s="296"/>
      <c r="D19" s="296"/>
      <c r="E19" s="296"/>
      <c r="F19" s="296"/>
      <c r="G19" s="169"/>
      <c r="H19" s="297" t="e">
        <f>L15</f>
        <v>#VALUE!</v>
      </c>
      <c r="I19" s="298"/>
      <c r="J19" s="298"/>
      <c r="K19" s="298"/>
      <c r="L19" s="299"/>
      <c r="M19" s="169"/>
      <c r="N19" s="183" t="s">
        <v>832</v>
      </c>
      <c r="O19" s="189"/>
      <c r="P19" s="189" t="s">
        <v>833</v>
      </c>
      <c r="Q19" s="185"/>
      <c r="R19" s="185"/>
      <c r="S19" s="185"/>
      <c r="T19" s="185"/>
      <c r="U19" s="186">
        <v>168150</v>
      </c>
      <c r="V19" s="186" t="e">
        <f t="shared" si="1"/>
        <v>#VALUE!</v>
      </c>
      <c r="W19" s="186" t="e">
        <v>#VALUE!</v>
      </c>
      <c r="X19" s="186" t="e">
        <v>#VALUE!</v>
      </c>
      <c r="Y19" s="187" t="e">
        <f t="shared" si="2"/>
        <v>#VALUE!</v>
      </c>
      <c r="Z19" s="186" t="e">
        <f t="shared" si="3"/>
        <v>#VALUE!</v>
      </c>
      <c r="AA19" s="186">
        <v>0</v>
      </c>
      <c r="AB19" s="169"/>
      <c r="AC19" s="169"/>
    </row>
    <row r="20" spans="1:31" ht="16.5" customHeight="1" x14ac:dyDescent="0.3">
      <c r="A20" s="169"/>
      <c r="B20" s="296"/>
      <c r="C20" s="296"/>
      <c r="D20" s="296"/>
      <c r="E20" s="296"/>
      <c r="F20" s="296"/>
      <c r="G20" s="169"/>
      <c r="H20" s="300"/>
      <c r="I20" s="301"/>
      <c r="J20" s="301"/>
      <c r="K20" s="301"/>
      <c r="L20" s="302"/>
      <c r="M20" s="169"/>
      <c r="N20" s="183" t="s">
        <v>845</v>
      </c>
      <c r="O20" s="189"/>
      <c r="P20" s="189" t="s">
        <v>846</v>
      </c>
      <c r="Q20" s="185"/>
      <c r="R20" s="185"/>
      <c r="S20" s="185"/>
      <c r="T20" s="185"/>
      <c r="U20" s="186">
        <v>115271.03999999999</v>
      </c>
      <c r="V20" s="186" t="e">
        <f t="shared" si="1"/>
        <v>#VALUE!</v>
      </c>
      <c r="W20" s="186" t="e">
        <v>#VALUE!</v>
      </c>
      <c r="X20" s="186" t="e">
        <v>#VALUE!</v>
      </c>
      <c r="Y20" s="187" t="e">
        <f t="shared" si="2"/>
        <v>#VALUE!</v>
      </c>
      <c r="Z20" s="186" t="e">
        <f t="shared" si="3"/>
        <v>#VALUE!</v>
      </c>
      <c r="AA20" s="186">
        <v>0</v>
      </c>
      <c r="AB20" s="169"/>
      <c r="AC20" s="169"/>
    </row>
    <row r="21" spans="1:31" ht="17.25" customHeight="1" x14ac:dyDescent="0.3">
      <c r="A21" s="169"/>
      <c r="B21" s="296"/>
      <c r="C21" s="296"/>
      <c r="D21" s="296"/>
      <c r="E21" s="296"/>
      <c r="F21" s="296"/>
      <c r="G21" s="169"/>
      <c r="H21" s="198"/>
      <c r="I21" s="198"/>
      <c r="J21" s="198"/>
      <c r="K21" s="198"/>
      <c r="L21" s="198"/>
      <c r="M21" s="169"/>
      <c r="N21" s="183" t="s">
        <v>858</v>
      </c>
      <c r="O21" s="189"/>
      <c r="P21" s="189" t="s">
        <v>1157</v>
      </c>
      <c r="Q21" s="185"/>
      <c r="R21" s="185"/>
      <c r="S21" s="185"/>
      <c r="T21" s="185"/>
      <c r="U21" s="186">
        <v>147165</v>
      </c>
      <c r="V21" s="186" t="e">
        <f t="shared" si="1"/>
        <v>#VALUE!</v>
      </c>
      <c r="W21" s="186" t="e">
        <v>#VALUE!</v>
      </c>
      <c r="X21" s="186" t="e">
        <v>#VALUE!</v>
      </c>
      <c r="Y21" s="187" t="e">
        <f t="shared" si="2"/>
        <v>#VALUE!</v>
      </c>
      <c r="Z21" s="186" t="e">
        <f t="shared" si="3"/>
        <v>#VALUE!</v>
      </c>
      <c r="AA21" s="186">
        <v>0</v>
      </c>
      <c r="AB21" s="169"/>
      <c r="AC21" s="169"/>
    </row>
    <row r="22" spans="1:31" ht="16.5" customHeight="1" x14ac:dyDescent="0.3">
      <c r="A22" s="169"/>
      <c r="B22" s="296"/>
      <c r="C22" s="296"/>
      <c r="D22" s="296"/>
      <c r="E22" s="296"/>
      <c r="F22" s="296"/>
      <c r="G22" s="169"/>
      <c r="H22" s="199" t="s">
        <v>1158</v>
      </c>
      <c r="I22" s="198"/>
      <c r="J22" s="198"/>
      <c r="K22" s="198"/>
      <c r="L22" s="198"/>
      <c r="M22" s="169"/>
      <c r="N22" s="183" t="s">
        <v>931</v>
      </c>
      <c r="O22" s="184"/>
      <c r="P22" s="184" t="s">
        <v>1159</v>
      </c>
      <c r="Q22" s="200"/>
      <c r="R22" s="200"/>
      <c r="S22" s="200"/>
      <c r="T22" s="200"/>
      <c r="U22" s="186">
        <v>42347.839999999997</v>
      </c>
      <c r="V22" s="186" t="e">
        <f t="shared" si="1"/>
        <v>#VALUE!</v>
      </c>
      <c r="W22" s="186" t="e">
        <v>#VALUE!</v>
      </c>
      <c r="X22" s="186" t="e">
        <v>#VALUE!</v>
      </c>
      <c r="Y22" s="187" t="e">
        <f t="shared" si="2"/>
        <v>#VALUE!</v>
      </c>
      <c r="Z22" s="186" t="e">
        <f t="shared" si="3"/>
        <v>#VALUE!</v>
      </c>
      <c r="AA22" s="201">
        <v>0</v>
      </c>
      <c r="AB22" s="169"/>
      <c r="AC22" s="169"/>
      <c r="AE22" s="202">
        <v>125</v>
      </c>
    </row>
    <row r="23" spans="1:31" ht="16.5" customHeight="1" x14ac:dyDescent="0.3">
      <c r="A23" s="169"/>
      <c r="B23" s="296"/>
      <c r="C23" s="296"/>
      <c r="D23" s="296"/>
      <c r="E23" s="296"/>
      <c r="F23" s="296"/>
      <c r="G23" s="169"/>
      <c r="H23" s="303" t="e">
        <f>H19</f>
        <v>#VALUE!</v>
      </c>
      <c r="I23" s="303"/>
      <c r="J23" s="303"/>
      <c r="K23" s="303"/>
      <c r="L23" s="303"/>
      <c r="M23" s="169"/>
      <c r="N23" s="183" t="s">
        <v>902</v>
      </c>
      <c r="O23" s="189"/>
      <c r="P23" s="189" t="s">
        <v>1160</v>
      </c>
      <c r="Q23" s="185"/>
      <c r="R23" s="185"/>
      <c r="S23" s="185"/>
      <c r="T23" s="185"/>
      <c r="U23" s="186">
        <v>114014.5</v>
      </c>
      <c r="V23" s="186" t="e">
        <f t="shared" si="1"/>
        <v>#VALUE!</v>
      </c>
      <c r="W23" s="186" t="e">
        <v>#VALUE!</v>
      </c>
      <c r="X23" s="186" t="e">
        <v>#VALUE!</v>
      </c>
      <c r="Y23" s="187" t="e">
        <f t="shared" si="2"/>
        <v>#VALUE!</v>
      </c>
      <c r="Z23" s="186" t="e">
        <f t="shared" si="3"/>
        <v>#VALUE!</v>
      </c>
      <c r="AA23" s="186">
        <v>0</v>
      </c>
      <c r="AB23" s="169"/>
      <c r="AC23" s="169"/>
      <c r="AE23" s="203">
        <v>105</v>
      </c>
    </row>
    <row r="24" spans="1:31" ht="16.5" customHeight="1" x14ac:dyDescent="0.3">
      <c r="A24" s="169"/>
      <c r="B24" s="296"/>
      <c r="C24" s="296"/>
      <c r="D24" s="296"/>
      <c r="E24" s="296"/>
      <c r="F24" s="296"/>
      <c r="G24" s="169"/>
      <c r="H24" s="303"/>
      <c r="I24" s="303"/>
      <c r="J24" s="303"/>
      <c r="K24" s="303"/>
      <c r="L24" s="303"/>
      <c r="M24" s="169"/>
      <c r="N24" s="183" t="s">
        <v>939</v>
      </c>
      <c r="O24" s="184"/>
      <c r="P24" s="184" t="s">
        <v>1161</v>
      </c>
      <c r="Q24" s="185"/>
      <c r="R24" s="185"/>
      <c r="S24" s="185"/>
      <c r="T24" s="185"/>
      <c r="U24" s="186">
        <v>287800</v>
      </c>
      <c r="V24" s="186" t="e">
        <f t="shared" si="1"/>
        <v>#VALUE!</v>
      </c>
      <c r="W24" s="186" t="e">
        <v>#VALUE!</v>
      </c>
      <c r="X24" s="186" t="e">
        <v>#VALUE!</v>
      </c>
      <c r="Y24" s="187" t="e">
        <f t="shared" si="2"/>
        <v>#VALUE!</v>
      </c>
      <c r="Z24" s="186" t="e">
        <f t="shared" si="3"/>
        <v>#VALUE!</v>
      </c>
      <c r="AA24" s="186">
        <v>0</v>
      </c>
      <c r="AB24" s="169"/>
      <c r="AC24" s="169"/>
      <c r="AE24" s="203">
        <v>80</v>
      </c>
    </row>
    <row r="25" spans="1:31" ht="16.5" customHeight="1" x14ac:dyDescent="0.3">
      <c r="A25" s="169"/>
      <c r="B25" s="296"/>
      <c r="C25" s="296"/>
      <c r="D25" s="296"/>
      <c r="E25" s="296"/>
      <c r="F25" s="296"/>
      <c r="G25" s="169"/>
      <c r="H25" s="169"/>
      <c r="I25" s="169"/>
      <c r="J25" s="169"/>
      <c r="K25" s="169"/>
      <c r="L25" s="169"/>
      <c r="M25" s="169"/>
      <c r="N25" s="183" t="s">
        <v>948</v>
      </c>
      <c r="O25" s="189"/>
      <c r="P25" s="189" t="s">
        <v>1162</v>
      </c>
      <c r="Q25" s="185"/>
      <c r="R25" s="185"/>
      <c r="S25" s="185"/>
      <c r="T25" s="185"/>
      <c r="U25" s="186">
        <v>324600</v>
      </c>
      <c r="V25" s="186" t="e">
        <f t="shared" si="1"/>
        <v>#VALUE!</v>
      </c>
      <c r="W25" s="186" t="e">
        <v>#VALUE!</v>
      </c>
      <c r="X25" s="186" t="e">
        <v>#VALUE!</v>
      </c>
      <c r="Y25" s="187" t="e">
        <f t="shared" si="2"/>
        <v>#VALUE!</v>
      </c>
      <c r="Z25" s="186" t="e">
        <f t="shared" si="3"/>
        <v>#VALUE!</v>
      </c>
      <c r="AA25" s="186">
        <v>0</v>
      </c>
      <c r="AB25" s="169"/>
      <c r="AC25" s="169"/>
      <c r="AE25" s="203">
        <v>90</v>
      </c>
    </row>
    <row r="26" spans="1:31" ht="16.5" customHeight="1" x14ac:dyDescent="0.3">
      <c r="A26" s="169"/>
      <c r="B26" s="304" t="s">
        <v>1163</v>
      </c>
      <c r="C26" s="304"/>
      <c r="D26" s="304"/>
      <c r="E26" s="304"/>
      <c r="F26" s="304"/>
      <c r="G26" s="169"/>
      <c r="H26" s="305" t="s">
        <v>1163</v>
      </c>
      <c r="I26" s="305"/>
      <c r="J26" s="305"/>
      <c r="K26" s="305"/>
      <c r="L26" s="305"/>
      <c r="M26" s="169"/>
      <c r="N26" s="183" t="s">
        <v>951</v>
      </c>
      <c r="O26" s="184"/>
      <c r="P26" s="184" t="s">
        <v>1164</v>
      </c>
      <c r="Q26" s="185"/>
      <c r="R26" s="185"/>
      <c r="S26" s="185"/>
      <c r="T26" s="185"/>
      <c r="U26" s="186">
        <v>1547000</v>
      </c>
      <c r="V26" s="186" t="e">
        <f t="shared" si="1"/>
        <v>#VALUE!</v>
      </c>
      <c r="W26" s="186" t="e">
        <v>#VALUE!</v>
      </c>
      <c r="X26" s="186" t="e">
        <v>#VALUE!</v>
      </c>
      <c r="Y26" s="187" t="e">
        <f t="shared" si="2"/>
        <v>#VALUE!</v>
      </c>
      <c r="Z26" s="186" t="e">
        <f t="shared" si="3"/>
        <v>#VALUE!</v>
      </c>
      <c r="AA26" s="186">
        <v>0</v>
      </c>
      <c r="AB26" s="169"/>
      <c r="AC26" s="169"/>
      <c r="AE26" s="204">
        <v>62.5</v>
      </c>
    </row>
    <row r="27" spans="1:31" ht="16.5" customHeight="1" x14ac:dyDescent="0.3">
      <c r="A27" s="169"/>
      <c r="B27" s="304"/>
      <c r="C27" s="304"/>
      <c r="D27" s="304"/>
      <c r="E27" s="304"/>
      <c r="F27" s="304"/>
      <c r="G27" s="169"/>
      <c r="H27" s="305"/>
      <c r="I27" s="305"/>
      <c r="J27" s="305"/>
      <c r="K27" s="305"/>
      <c r="L27" s="305"/>
      <c r="M27" s="169"/>
      <c r="N27" s="183" t="s">
        <v>955</v>
      </c>
      <c r="O27" s="184"/>
      <c r="P27" s="184" t="s">
        <v>1165</v>
      </c>
      <c r="Q27" s="185"/>
      <c r="R27" s="185"/>
      <c r="S27" s="185"/>
      <c r="T27" s="185"/>
      <c r="U27" s="186">
        <v>1854407</v>
      </c>
      <c r="V27" s="186" t="e">
        <f t="shared" si="1"/>
        <v>#VALUE!</v>
      </c>
      <c r="W27" s="186" t="e">
        <v>#VALUE!</v>
      </c>
      <c r="X27" s="186" t="e">
        <v>#VALUE!</v>
      </c>
      <c r="Y27" s="187" t="e">
        <f t="shared" si="2"/>
        <v>#VALUE!</v>
      </c>
      <c r="Z27" s="186" t="e">
        <f t="shared" si="3"/>
        <v>#VALUE!</v>
      </c>
      <c r="AA27" s="186">
        <v>0</v>
      </c>
      <c r="AB27" s="169"/>
      <c r="AC27" s="169"/>
    </row>
    <row r="28" spans="1:31" ht="17.25" customHeight="1" x14ac:dyDescent="0.3">
      <c r="A28" s="169"/>
      <c r="B28" s="304"/>
      <c r="C28" s="304"/>
      <c r="D28" s="304"/>
      <c r="E28" s="304"/>
      <c r="F28" s="304"/>
      <c r="G28" s="169"/>
      <c r="H28" s="305"/>
      <c r="I28" s="305"/>
      <c r="J28" s="305"/>
      <c r="K28" s="305"/>
      <c r="L28" s="305"/>
      <c r="M28" s="169"/>
      <c r="N28" s="183" t="s">
        <v>993</v>
      </c>
      <c r="O28" s="184"/>
      <c r="P28" s="205" t="s">
        <v>1166</v>
      </c>
      <c r="Q28" s="185"/>
      <c r="R28" s="185"/>
      <c r="S28" s="185"/>
      <c r="T28" s="185"/>
      <c r="U28" s="206">
        <v>198912</v>
      </c>
      <c r="V28" s="186" t="e">
        <f t="shared" si="1"/>
        <v>#VALUE!</v>
      </c>
      <c r="W28" s="186" t="e">
        <v>#VALUE!</v>
      </c>
      <c r="X28" s="186" t="e">
        <v>#VALUE!</v>
      </c>
      <c r="Y28" s="187" t="e">
        <f t="shared" si="2"/>
        <v>#VALUE!</v>
      </c>
      <c r="Z28" s="186" t="e">
        <f t="shared" si="3"/>
        <v>#VALUE!</v>
      </c>
      <c r="AA28" s="186">
        <v>0</v>
      </c>
      <c r="AB28" s="207"/>
      <c r="AC28" s="169"/>
    </row>
    <row r="29" spans="1:31" ht="18" customHeight="1" x14ac:dyDescent="0.3">
      <c r="A29" s="169"/>
      <c r="B29" s="306" t="s">
        <v>1167</v>
      </c>
      <c r="C29" s="306"/>
      <c r="D29" s="306"/>
      <c r="E29" s="306"/>
      <c r="F29" s="306"/>
      <c r="G29" s="169"/>
      <c r="H29" s="307" t="s">
        <v>1168</v>
      </c>
      <c r="I29" s="307"/>
      <c r="J29" s="307"/>
      <c r="K29" s="307"/>
      <c r="L29" s="307"/>
      <c r="M29" s="169"/>
      <c r="O29" s="209"/>
      <c r="P29" s="308" t="s">
        <v>1169</v>
      </c>
      <c r="Q29" s="308"/>
      <c r="R29" s="308"/>
      <c r="S29" s="308"/>
      <c r="T29" s="309"/>
      <c r="U29" s="210">
        <f t="shared" ref="U29:X29" si="8">SUM(U9:U28)</f>
        <v>6867063.5699999994</v>
      </c>
      <c r="V29" s="211" t="e">
        <f t="shared" si="8"/>
        <v>#VALUE!</v>
      </c>
      <c r="W29" s="211" t="e">
        <f t="shared" si="8"/>
        <v>#VALUE!</v>
      </c>
      <c r="X29" s="211" t="e">
        <f t="shared" si="8"/>
        <v>#VALUE!</v>
      </c>
      <c r="Y29" s="212" t="e">
        <f t="shared" si="2"/>
        <v>#VALUE!</v>
      </c>
      <c r="Z29" s="211" t="e">
        <f t="shared" si="3"/>
        <v>#VALUE!</v>
      </c>
      <c r="AA29" s="213">
        <f>SUBTOTAL(9,AA9:AA28)</f>
        <v>0</v>
      </c>
      <c r="AB29" s="169"/>
      <c r="AC29" s="169"/>
    </row>
    <row r="30" spans="1:31" ht="16.5" customHeight="1" x14ac:dyDescent="0.3">
      <c r="A30" s="169"/>
      <c r="B30" s="208"/>
      <c r="C30" s="208"/>
      <c r="D30" s="208"/>
      <c r="E30" s="208"/>
      <c r="F30" s="208"/>
      <c r="G30" s="169"/>
      <c r="H30" s="214"/>
      <c r="I30" s="214"/>
      <c r="J30" s="214"/>
      <c r="K30" s="214"/>
      <c r="L30" s="214"/>
      <c r="M30" s="169"/>
      <c r="N30" s="215" t="s">
        <v>1170</v>
      </c>
      <c r="O30" s="216"/>
      <c r="P30" s="217" t="s">
        <v>1171</v>
      </c>
      <c r="Q30" s="218"/>
      <c r="R30" s="218"/>
      <c r="S30" s="218"/>
      <c r="T30" s="218"/>
      <c r="U30" s="219">
        <v>848280</v>
      </c>
      <c r="V30" s="220" t="e">
        <f t="shared" si="1"/>
        <v>#VALUE!</v>
      </c>
      <c r="W30" s="186" t="e">
        <v>#VALUE!</v>
      </c>
      <c r="X30" s="186" t="e">
        <v>#VALUE!</v>
      </c>
      <c r="Y30" s="187" t="e">
        <f t="shared" si="2"/>
        <v>#VALUE!</v>
      </c>
      <c r="Z30" s="186" t="e">
        <f t="shared" si="3"/>
        <v>#VALUE!</v>
      </c>
      <c r="AA30" s="186"/>
      <c r="AB30" s="169"/>
      <c r="AC30" s="169"/>
    </row>
    <row r="31" spans="1:31" ht="16.5" customHeight="1" x14ac:dyDescent="0.3">
      <c r="A31" s="221"/>
      <c r="B31" s="194"/>
      <c r="C31" s="194"/>
      <c r="D31" s="194"/>
      <c r="E31" s="194"/>
      <c r="F31" s="194"/>
      <c r="G31" s="169"/>
      <c r="H31" s="169"/>
      <c r="I31" s="169"/>
      <c r="J31" s="169"/>
      <c r="K31" s="169"/>
      <c r="L31" s="169"/>
      <c r="M31" s="169"/>
      <c r="N31" s="222" t="s">
        <v>550</v>
      </c>
      <c r="O31" s="216"/>
      <c r="P31" s="217" t="s">
        <v>1172</v>
      </c>
      <c r="Q31" s="218"/>
      <c r="R31" s="218"/>
      <c r="S31" s="223">
        <v>0.05</v>
      </c>
      <c r="T31" s="218"/>
      <c r="U31" s="186">
        <v>442178.46</v>
      </c>
      <c r="V31" s="186">
        <v>43495.73</v>
      </c>
      <c r="W31" s="186" t="e">
        <f>(W29+SUM(W34:W35))*$S$31</f>
        <v>#VALUE!</v>
      </c>
      <c r="X31" s="186" t="e">
        <f t="shared" ref="X31:X32" si="9">V31+W31</f>
        <v>#VALUE!</v>
      </c>
      <c r="Y31" s="187" t="e">
        <f t="shared" si="2"/>
        <v>#VALUE!</v>
      </c>
      <c r="Z31" s="186" t="e">
        <f t="shared" si="3"/>
        <v>#VALUE!</v>
      </c>
      <c r="AA31" s="186"/>
      <c r="AB31" s="169"/>
      <c r="AC31" s="169"/>
    </row>
    <row r="32" spans="1:31" ht="16.5" customHeight="1" x14ac:dyDescent="0.3">
      <c r="I32" s="224"/>
      <c r="N32" s="222" t="s">
        <v>556</v>
      </c>
      <c r="O32" s="216"/>
      <c r="P32" s="217" t="s">
        <v>557</v>
      </c>
      <c r="Q32" s="218"/>
      <c r="R32" s="218"/>
      <c r="S32" s="223">
        <v>0.02</v>
      </c>
      <c r="T32" s="218"/>
      <c r="U32" s="186">
        <v>176871.39</v>
      </c>
      <c r="V32" s="186">
        <v>9651.67</v>
      </c>
      <c r="W32" s="186" t="e">
        <f>W29*$S$32</f>
        <v>#VALUE!</v>
      </c>
      <c r="X32" s="186" t="e">
        <f t="shared" si="9"/>
        <v>#VALUE!</v>
      </c>
      <c r="Y32" s="187" t="e">
        <f t="shared" si="2"/>
        <v>#VALUE!</v>
      </c>
      <c r="Z32" s="186" t="e">
        <f t="shared" si="3"/>
        <v>#VALUE!</v>
      </c>
      <c r="AA32" s="186"/>
    </row>
    <row r="33" spans="1:31" ht="16.5" customHeight="1" x14ac:dyDescent="0.3">
      <c r="I33" s="224"/>
      <c r="J33" s="225"/>
      <c r="K33" s="225"/>
      <c r="N33" s="222" t="s">
        <v>605</v>
      </c>
      <c r="O33" s="216"/>
      <c r="P33" s="217" t="s">
        <v>1173</v>
      </c>
      <c r="Q33" s="218"/>
      <c r="R33" s="218"/>
      <c r="S33" s="223"/>
      <c r="T33" s="218"/>
      <c r="U33" s="186">
        <f>9374183.45-SUM(U29,U30:U32,U34:U35)</f>
        <v>695765.23000000045</v>
      </c>
      <c r="V33" s="186" t="e">
        <f t="shared" si="1"/>
        <v>#VALUE!</v>
      </c>
      <c r="W33" s="186" t="e">
        <v>#VALUE!</v>
      </c>
      <c r="X33" s="186" t="e">
        <v>#VALUE!</v>
      </c>
      <c r="Y33" s="187" t="e">
        <f t="shared" si="2"/>
        <v>#VALUE!</v>
      </c>
      <c r="Z33" s="186" t="e">
        <f t="shared" si="3"/>
        <v>#VALUE!</v>
      </c>
      <c r="AA33" s="186"/>
      <c r="AB33" s="169"/>
      <c r="AC33" s="169"/>
      <c r="AD33" s="169"/>
    </row>
    <row r="34" spans="1:31" ht="16.5" customHeight="1" x14ac:dyDescent="0.3">
      <c r="I34" s="224"/>
      <c r="J34" s="225"/>
      <c r="K34" s="225"/>
      <c r="N34" s="222" t="s">
        <v>417</v>
      </c>
      <c r="O34" s="216"/>
      <c r="P34" s="217" t="s">
        <v>1174</v>
      </c>
      <c r="Q34" s="218"/>
      <c r="R34" s="218"/>
      <c r="S34" s="223"/>
      <c r="T34" s="218"/>
      <c r="U34" s="186">
        <v>287168</v>
      </c>
      <c r="V34" s="186" t="e">
        <f t="shared" si="1"/>
        <v>#VALUE!</v>
      </c>
      <c r="W34" s="186" t="e">
        <v>#VALUE!</v>
      </c>
      <c r="X34" s="186" t="e">
        <v>#VALUE!</v>
      </c>
      <c r="Y34" s="187" t="e">
        <f t="shared" si="2"/>
        <v>#VALUE!</v>
      </c>
      <c r="Z34" s="186" t="e">
        <f t="shared" si="3"/>
        <v>#VALUE!</v>
      </c>
      <c r="AA34" s="186"/>
      <c r="AB34" s="169"/>
      <c r="AC34" s="169"/>
      <c r="AD34" s="226"/>
      <c r="AE34" s="227"/>
    </row>
    <row r="35" spans="1:31" ht="17.25" customHeight="1" x14ac:dyDescent="0.3">
      <c r="A35" s="169"/>
      <c r="G35" s="169"/>
      <c r="I35" s="224"/>
      <c r="J35" s="225"/>
      <c r="K35" s="225"/>
      <c r="M35" s="169"/>
      <c r="N35" s="183" t="s">
        <v>515</v>
      </c>
      <c r="O35" s="184"/>
      <c r="P35" s="184" t="s">
        <v>1175</v>
      </c>
      <c r="Q35" s="185"/>
      <c r="R35" s="185"/>
      <c r="S35" s="185"/>
      <c r="T35" s="185"/>
      <c r="U35" s="206">
        <v>56856.800000000003</v>
      </c>
      <c r="V35" s="228" t="e">
        <f t="shared" si="1"/>
        <v>#VALUE!</v>
      </c>
      <c r="W35" s="228" t="e">
        <v>#VALUE!</v>
      </c>
      <c r="X35" s="228" t="e">
        <v>#VALUE!</v>
      </c>
      <c r="Y35" s="229" t="e">
        <f t="shared" si="2"/>
        <v>#VALUE!</v>
      </c>
      <c r="Z35" s="228" t="e">
        <f t="shared" si="3"/>
        <v>#VALUE!</v>
      </c>
      <c r="AA35" s="228"/>
      <c r="AB35" s="207"/>
      <c r="AC35" s="169"/>
    </row>
    <row r="36" spans="1:31" ht="18" customHeight="1" x14ac:dyDescent="0.3">
      <c r="I36" s="224"/>
      <c r="J36" s="225"/>
      <c r="K36" s="225"/>
      <c r="L36" s="188" t="s">
        <v>1176</v>
      </c>
      <c r="N36" s="215"/>
      <c r="O36" s="230"/>
      <c r="P36" s="310" t="s">
        <v>1177</v>
      </c>
      <c r="Q36" s="310"/>
      <c r="R36" s="310"/>
      <c r="S36" s="310"/>
      <c r="T36" s="311"/>
      <c r="U36" s="231">
        <f t="shared" ref="U36:AA36" si="10">SUM(U30:U35)</f>
        <v>2507119.8800000004</v>
      </c>
      <c r="V36" s="231" t="e">
        <f t="shared" si="10"/>
        <v>#VALUE!</v>
      </c>
      <c r="W36" s="231" t="e">
        <f t="shared" si="10"/>
        <v>#VALUE!</v>
      </c>
      <c r="X36" s="231" t="e">
        <f t="shared" si="10"/>
        <v>#VALUE!</v>
      </c>
      <c r="Y36" s="232" t="e">
        <f t="shared" si="2"/>
        <v>#VALUE!</v>
      </c>
      <c r="Z36" s="231" t="e">
        <f t="shared" si="10"/>
        <v>#VALUE!</v>
      </c>
      <c r="AA36" s="231">
        <f t="shared" si="10"/>
        <v>0</v>
      </c>
      <c r="AB36" s="169"/>
      <c r="AC36" s="169"/>
      <c r="AD36" s="226"/>
      <c r="AE36" s="227"/>
    </row>
    <row r="37" spans="1:31" ht="17.25" customHeight="1" x14ac:dyDescent="0.3">
      <c r="I37" s="224"/>
      <c r="J37" s="225"/>
      <c r="K37" s="225"/>
      <c r="N37" s="215"/>
      <c r="O37" s="233"/>
      <c r="P37" s="312" t="s">
        <v>1178</v>
      </c>
      <c r="Q37" s="312"/>
      <c r="R37" s="312"/>
      <c r="S37" s="312"/>
      <c r="T37" s="313"/>
      <c r="U37" s="234">
        <f>SUM(U29+U36)</f>
        <v>9374183.4499999993</v>
      </c>
      <c r="V37" s="234" t="e">
        <f t="shared" ref="V37:AA37" si="11">V36+V29</f>
        <v>#VALUE!</v>
      </c>
      <c r="W37" s="234" t="e">
        <f t="shared" si="11"/>
        <v>#VALUE!</v>
      </c>
      <c r="X37" s="234" t="e">
        <f t="shared" si="11"/>
        <v>#VALUE!</v>
      </c>
      <c r="Y37" s="235" t="e">
        <f t="shared" si="2"/>
        <v>#VALUE!</v>
      </c>
      <c r="Z37" s="234" t="e">
        <f t="shared" si="3"/>
        <v>#VALUE!</v>
      </c>
      <c r="AA37" s="234">
        <f t="shared" si="11"/>
        <v>0</v>
      </c>
      <c r="AB37" s="169"/>
      <c r="AC37" s="169"/>
      <c r="AD37" s="226"/>
      <c r="AE37" s="227"/>
    </row>
    <row r="38" spans="1:31" ht="16.5" customHeight="1" x14ac:dyDescent="0.3">
      <c r="I38" s="224"/>
      <c r="J38" s="225"/>
      <c r="K38" s="225"/>
      <c r="N38" s="215"/>
      <c r="O38" s="236"/>
      <c r="P38" s="237"/>
      <c r="Q38" s="237"/>
      <c r="R38" s="237"/>
      <c r="S38" s="237"/>
      <c r="T38" s="237"/>
      <c r="U38" s="238"/>
      <c r="V38" s="238"/>
      <c r="W38" s="238"/>
      <c r="X38" s="238"/>
      <c r="Y38" s="239"/>
      <c r="Z38" s="238"/>
      <c r="AA38" s="238"/>
      <c r="AB38" s="169"/>
      <c r="AC38" s="169"/>
      <c r="AD38" s="226"/>
      <c r="AE38" s="227"/>
    </row>
    <row r="39" spans="1:31" ht="16.5" customHeight="1" x14ac:dyDescent="0.3">
      <c r="I39" s="224"/>
      <c r="J39" s="225"/>
      <c r="K39" s="225"/>
      <c r="N39" s="215"/>
      <c r="O39" s="236"/>
      <c r="P39" s="237"/>
      <c r="Q39" s="237"/>
      <c r="R39" s="237"/>
      <c r="X39" s="240"/>
      <c r="Y39" s="241"/>
      <c r="Z39" s="240"/>
      <c r="AA39" s="240"/>
      <c r="AB39" s="169"/>
      <c r="AC39" s="169"/>
      <c r="AD39" s="226"/>
      <c r="AE39" s="227"/>
    </row>
    <row r="40" spans="1:31" ht="16.5" customHeight="1" x14ac:dyDescent="0.3">
      <c r="I40" s="224"/>
      <c r="J40" s="225"/>
      <c r="K40" s="225"/>
      <c r="N40" s="215"/>
      <c r="O40" s="236"/>
      <c r="P40" s="237"/>
      <c r="Q40" s="237"/>
      <c r="R40" s="237"/>
      <c r="X40" s="240"/>
      <c r="Y40" s="241"/>
      <c r="Z40" s="240"/>
      <c r="AA40" s="240"/>
      <c r="AB40" s="169"/>
      <c r="AC40" s="169"/>
      <c r="AD40" s="226"/>
      <c r="AE40" s="227"/>
    </row>
    <row r="41" spans="1:31" ht="16.5" customHeight="1" x14ac:dyDescent="0.3">
      <c r="I41" s="224"/>
      <c r="J41" s="225"/>
      <c r="K41" s="225"/>
      <c r="N41" s="215"/>
      <c r="O41" s="236"/>
      <c r="P41" s="237"/>
      <c r="Q41" s="237"/>
      <c r="R41" s="237"/>
      <c r="X41" s="240"/>
      <c r="Y41" s="241"/>
      <c r="Z41" s="240"/>
      <c r="AA41" s="240"/>
      <c r="AB41" s="169"/>
      <c r="AC41" s="169"/>
      <c r="AD41" s="226"/>
      <c r="AE41" s="227"/>
    </row>
    <row r="42" spans="1:31" ht="16.5" customHeight="1" x14ac:dyDescent="0.3">
      <c r="I42" s="224"/>
      <c r="J42" s="225"/>
      <c r="K42" s="225"/>
      <c r="N42" s="215"/>
      <c r="O42" s="236"/>
      <c r="P42" s="237"/>
      <c r="Q42" s="237"/>
      <c r="R42" s="237"/>
      <c r="X42" s="240"/>
      <c r="Y42" s="241"/>
      <c r="Z42" s="240"/>
      <c r="AA42" s="240"/>
      <c r="AB42" s="169"/>
      <c r="AC42" s="169"/>
      <c r="AD42" s="226"/>
      <c r="AE42" s="227"/>
    </row>
    <row r="43" spans="1:31" ht="16.5" customHeight="1" x14ac:dyDescent="0.3">
      <c r="I43" s="224"/>
      <c r="N43" s="215"/>
      <c r="O43" s="236"/>
      <c r="P43" s="237"/>
      <c r="Q43" s="237"/>
      <c r="R43" s="237"/>
      <c r="X43" s="240"/>
      <c r="Y43" s="241"/>
      <c r="Z43" s="240"/>
      <c r="AA43" s="240"/>
      <c r="AB43" s="169"/>
      <c r="AC43" s="169"/>
      <c r="AD43" s="169"/>
    </row>
    <row r="44" spans="1:31" ht="16.5" hidden="1" customHeight="1" x14ac:dyDescent="0.3">
      <c r="A44" s="221"/>
      <c r="B44" s="169"/>
      <c r="C44" s="169"/>
      <c r="D44" s="169"/>
      <c r="E44" s="169"/>
      <c r="F44" s="169"/>
      <c r="G44" s="169"/>
      <c r="H44" s="169"/>
      <c r="I44" s="169"/>
      <c r="J44" s="169"/>
      <c r="K44" s="169"/>
      <c r="L44" s="169"/>
      <c r="M44" s="169"/>
      <c r="N44" s="215"/>
      <c r="O44" s="236"/>
      <c r="P44" s="237"/>
      <c r="Q44" s="237"/>
      <c r="R44" s="237"/>
      <c r="S44" s="242"/>
      <c r="T44" s="243" t="s">
        <v>1179</v>
      </c>
      <c r="U44" s="244">
        <v>587612.57999999996</v>
      </c>
      <c r="V44" s="244"/>
      <c r="W44" s="244"/>
      <c r="X44" s="245"/>
      <c r="Y44" s="241"/>
      <c r="Z44" s="240"/>
      <c r="AA44" s="240"/>
      <c r="AB44" s="169"/>
      <c r="AC44" s="169"/>
    </row>
    <row r="45" spans="1:31" ht="16.5" hidden="1" customHeight="1" x14ac:dyDescent="0.3">
      <c r="A45" s="221"/>
      <c r="B45" s="169"/>
      <c r="C45" s="169"/>
      <c r="D45" s="169"/>
      <c r="E45" s="169"/>
      <c r="F45" s="169"/>
      <c r="G45" s="169"/>
      <c r="H45" s="169"/>
      <c r="I45" s="169"/>
      <c r="J45" s="169"/>
      <c r="K45" s="169"/>
      <c r="L45" s="169"/>
      <c r="M45" s="169"/>
      <c r="N45" s="215"/>
      <c r="O45" s="236"/>
      <c r="P45" s="237"/>
      <c r="Q45" s="237"/>
      <c r="R45" s="237"/>
      <c r="S45" s="246"/>
      <c r="T45" s="247" t="s">
        <v>1180</v>
      </c>
      <c r="U45" s="240">
        <f>442178.46-U31</f>
        <v>0</v>
      </c>
      <c r="V45" s="240">
        <f>SUM(U44:U46)</f>
        <v>499176.87999999995</v>
      </c>
      <c r="W45" s="240" t="s">
        <v>1181</v>
      </c>
      <c r="X45" s="248"/>
      <c r="Y45" s="241"/>
      <c r="Z45" s="249"/>
      <c r="AA45" s="240"/>
      <c r="AB45" s="169"/>
      <c r="AC45" s="169"/>
    </row>
    <row r="46" spans="1:31" ht="16.5" hidden="1" customHeight="1" x14ac:dyDescent="0.3">
      <c r="I46" s="224"/>
      <c r="N46" s="215"/>
      <c r="O46" s="236"/>
      <c r="P46" s="237"/>
      <c r="Q46" s="237"/>
      <c r="R46" s="237"/>
      <c r="S46" s="246"/>
      <c r="T46" s="247" t="s">
        <v>1182</v>
      </c>
      <c r="U46" s="240">
        <f>88435.69-U32</f>
        <v>-88435.700000000012</v>
      </c>
      <c r="V46" s="240"/>
      <c r="W46" s="240"/>
      <c r="X46" s="248"/>
      <c r="Y46" s="241"/>
      <c r="Z46" s="240"/>
      <c r="AA46" s="240"/>
      <c r="AB46" s="169"/>
      <c r="AC46" s="169"/>
      <c r="AD46" s="169"/>
    </row>
    <row r="47" spans="1:31" ht="16.5" hidden="1" customHeight="1" x14ac:dyDescent="0.3">
      <c r="F47" s="227"/>
      <c r="I47" s="227"/>
      <c r="N47" s="215"/>
      <c r="O47" s="236"/>
      <c r="P47" s="237"/>
      <c r="Q47" s="237"/>
      <c r="R47" s="237"/>
      <c r="S47" s="246"/>
      <c r="T47" s="237"/>
      <c r="U47" s="250"/>
      <c r="V47" s="250"/>
      <c r="W47" s="240"/>
      <c r="X47" s="248"/>
      <c r="Y47" s="241"/>
      <c r="Z47" s="240"/>
      <c r="AA47" s="240"/>
      <c r="AB47" s="169"/>
      <c r="AC47" s="169"/>
      <c r="AD47" s="169"/>
    </row>
    <row r="48" spans="1:31" ht="16.5" hidden="1" customHeight="1" x14ac:dyDescent="0.3">
      <c r="I48" s="227"/>
      <c r="N48" s="215"/>
      <c r="O48" s="236"/>
      <c r="P48" s="237"/>
      <c r="Q48" s="237"/>
      <c r="R48" s="237"/>
      <c r="S48" s="246"/>
      <c r="T48" s="237"/>
      <c r="U48" s="251">
        <v>9374183.4499999993</v>
      </c>
      <c r="V48" s="251" t="s">
        <v>1183</v>
      </c>
      <c r="W48" s="240"/>
      <c r="X48" s="248"/>
      <c r="Y48" s="241"/>
      <c r="Z48" s="252"/>
      <c r="AA48" s="240"/>
      <c r="AB48" s="169"/>
      <c r="AC48" s="169"/>
      <c r="AD48" s="169"/>
    </row>
    <row r="49" spans="1:31" ht="16.5" hidden="1" customHeight="1" x14ac:dyDescent="0.3">
      <c r="A49" s="221"/>
      <c r="B49" s="169"/>
      <c r="C49" s="169"/>
      <c r="D49" s="169"/>
      <c r="E49" s="169"/>
      <c r="F49" s="169"/>
      <c r="G49" s="169"/>
      <c r="H49" s="169"/>
      <c r="I49" s="169"/>
      <c r="J49" s="169"/>
      <c r="K49" s="169"/>
      <c r="L49" s="169"/>
      <c r="M49" s="169"/>
      <c r="N49" s="215"/>
      <c r="O49" s="236"/>
      <c r="P49" s="237"/>
      <c r="Q49" s="237"/>
      <c r="R49" s="237"/>
      <c r="S49" s="246"/>
      <c r="T49" s="237"/>
      <c r="U49" s="253">
        <f>U48-U37</f>
        <v>0</v>
      </c>
      <c r="V49" s="253" t="s">
        <v>1181</v>
      </c>
      <c r="W49" s="240"/>
      <c r="X49" s="248"/>
      <c r="Y49" s="241"/>
      <c r="Z49" s="252"/>
      <c r="AA49" s="240"/>
      <c r="AB49" s="169"/>
      <c r="AC49" s="169"/>
    </row>
    <row r="50" spans="1:31" ht="17.25" hidden="1" customHeight="1" x14ac:dyDescent="0.3">
      <c r="N50" s="215"/>
      <c r="O50" s="236"/>
      <c r="P50" s="237"/>
      <c r="Q50" s="237"/>
      <c r="R50" s="237"/>
      <c r="S50" s="254"/>
      <c r="T50" s="255"/>
      <c r="U50" s="256"/>
      <c r="V50" s="256"/>
      <c r="W50" s="256"/>
      <c r="X50" s="257"/>
      <c r="Y50" s="241"/>
      <c r="Z50" s="240"/>
      <c r="AA50" s="240"/>
      <c r="AB50" s="169"/>
      <c r="AC50" s="169"/>
      <c r="AD50" s="169"/>
    </row>
    <row r="51" spans="1:31" ht="16.5" hidden="1" customHeight="1" x14ac:dyDescent="0.3">
      <c r="L51" s="258"/>
      <c r="N51" s="215"/>
      <c r="O51" s="236"/>
      <c r="P51" s="237"/>
      <c r="Q51" s="237"/>
      <c r="R51" s="237"/>
      <c r="S51" s="237"/>
      <c r="T51" s="237"/>
      <c r="U51" s="240"/>
      <c r="V51" s="240"/>
      <c r="W51" s="240"/>
      <c r="X51" s="240"/>
      <c r="Y51" s="241"/>
      <c r="Z51" s="240"/>
      <c r="AA51" s="240"/>
      <c r="AB51" s="169"/>
      <c r="AC51" s="207"/>
      <c r="AD51" s="259"/>
      <c r="AE51" s="227"/>
    </row>
    <row r="52" spans="1:31" ht="16.5" customHeight="1" x14ac:dyDescent="0.3">
      <c r="F52" s="260"/>
      <c r="G52" s="261"/>
      <c r="H52" s="260"/>
      <c r="N52" s="215"/>
      <c r="O52" s="236"/>
      <c r="P52" s="237"/>
      <c r="Q52" s="237"/>
      <c r="R52" s="237"/>
      <c r="S52" s="237"/>
      <c r="T52" s="237"/>
      <c r="U52" s="240"/>
      <c r="V52" s="240"/>
      <c r="W52" s="240"/>
      <c r="X52" s="240"/>
      <c r="Y52" s="241"/>
      <c r="Z52" s="240"/>
      <c r="AA52" s="240"/>
      <c r="AB52" s="169"/>
      <c r="AC52" s="169"/>
      <c r="AD52" s="169"/>
    </row>
    <row r="53" spans="1:31" ht="16.5" customHeight="1" x14ac:dyDescent="0.3">
      <c r="D53" s="260"/>
      <c r="E53" s="260"/>
      <c r="F53" s="262"/>
      <c r="G53" s="263"/>
      <c r="H53" s="264"/>
      <c r="N53" s="215"/>
      <c r="O53" s="236"/>
      <c r="P53" s="237"/>
      <c r="Q53" s="237"/>
      <c r="R53" s="237"/>
      <c r="S53" s="237"/>
      <c r="T53" s="237"/>
      <c r="U53" s="240"/>
      <c r="V53" s="240"/>
      <c r="W53" s="240"/>
      <c r="X53" s="240"/>
      <c r="Y53" s="241"/>
      <c r="Z53" s="240"/>
      <c r="AA53" s="240"/>
      <c r="AB53" s="169"/>
      <c r="AC53" s="169"/>
      <c r="AD53" s="169"/>
    </row>
    <row r="54" spans="1:31" ht="16.5" customHeight="1" x14ac:dyDescent="0.3">
      <c r="D54" s="265"/>
      <c r="E54" s="266"/>
      <c r="F54" s="262"/>
      <c r="G54" s="263"/>
      <c r="H54" s="264"/>
      <c r="K54" s="258"/>
      <c r="N54" s="215"/>
      <c r="O54" s="236"/>
      <c r="P54" s="237"/>
      <c r="Q54" s="237"/>
      <c r="R54" s="237"/>
      <c r="S54" s="237"/>
      <c r="T54" s="237"/>
      <c r="U54" s="240"/>
      <c r="V54" s="240"/>
      <c r="W54" s="240"/>
      <c r="X54" s="240"/>
      <c r="Y54" s="241"/>
      <c r="Z54" s="240"/>
      <c r="AA54" s="240"/>
      <c r="AB54" s="169"/>
      <c r="AC54" s="169"/>
      <c r="AD54" s="169"/>
    </row>
    <row r="55" spans="1:31" ht="16.5" customHeight="1" x14ac:dyDescent="0.3">
      <c r="K55" s="267"/>
      <c r="N55" s="215"/>
      <c r="O55" s="236"/>
      <c r="P55" s="237"/>
      <c r="Q55" s="237"/>
      <c r="R55" s="237"/>
      <c r="S55" s="237"/>
      <c r="T55" s="237"/>
      <c r="U55" s="268"/>
      <c r="V55" s="268"/>
      <c r="W55" s="268"/>
      <c r="X55" s="268"/>
      <c r="Y55" s="239"/>
      <c r="Z55" s="268"/>
      <c r="AA55" s="268"/>
      <c r="AB55" s="169"/>
      <c r="AC55" s="169"/>
      <c r="AD55" s="169"/>
    </row>
    <row r="56" spans="1:31" ht="16.5" customHeight="1" x14ac:dyDescent="0.3">
      <c r="O56" s="221"/>
      <c r="P56" s="292"/>
      <c r="Q56" s="292"/>
      <c r="R56" s="292"/>
      <c r="S56" s="292"/>
      <c r="T56" s="292"/>
      <c r="U56" s="238"/>
      <c r="V56" s="238"/>
      <c r="W56" s="238"/>
      <c r="X56" s="238"/>
      <c r="Y56" s="239"/>
      <c r="Z56" s="238"/>
      <c r="AA56" s="238"/>
      <c r="AB56" s="169"/>
      <c r="AC56" s="169"/>
      <c r="AD56" s="169"/>
    </row>
    <row r="57" spans="1:31" ht="16.5" customHeight="1" x14ac:dyDescent="0.3">
      <c r="AB57" s="169"/>
      <c r="AC57" s="169"/>
      <c r="AD57" s="169"/>
    </row>
    <row r="58" spans="1:31" ht="16.5" customHeight="1" x14ac:dyDescent="0.3">
      <c r="X58" s="224"/>
      <c r="AB58" s="169"/>
    </row>
    <row r="59" spans="1:31" ht="16.5" customHeight="1" x14ac:dyDescent="0.3">
      <c r="AB59" s="169"/>
    </row>
    <row r="60" spans="1:31" ht="16.5" customHeight="1" x14ac:dyDescent="0.3">
      <c r="AB60" s="169"/>
    </row>
    <row r="61" spans="1:31" ht="16.5" customHeight="1" x14ac:dyDescent="0.3">
      <c r="AB61" s="169"/>
    </row>
    <row r="62" spans="1:31" ht="16.5" customHeight="1" x14ac:dyDescent="0.3">
      <c r="AB62" s="169"/>
    </row>
    <row r="63" spans="1:31" ht="16.5" customHeight="1" x14ac:dyDescent="0.3">
      <c r="AB63" s="169"/>
    </row>
    <row r="64" spans="1:31" ht="16.5" customHeight="1" x14ac:dyDescent="0.3">
      <c r="AB64" s="169"/>
    </row>
    <row r="65" spans="28:28" ht="16.5" customHeight="1" x14ac:dyDescent="0.3">
      <c r="AB65" s="169"/>
    </row>
    <row r="66" spans="28:28" ht="16.5" customHeight="1" x14ac:dyDescent="0.3">
      <c r="AB66" s="169"/>
    </row>
    <row r="67" spans="28:28" ht="16.5" customHeight="1" x14ac:dyDescent="0.3">
      <c r="AB67" s="169"/>
    </row>
    <row r="68" spans="28:28" ht="16.5" customHeight="1" x14ac:dyDescent="0.3">
      <c r="AB68" s="169"/>
    </row>
    <row r="69" spans="28:28" ht="16.5" customHeight="1" x14ac:dyDescent="0.3">
      <c r="AB69" s="169"/>
    </row>
    <row r="70" spans="28:28" ht="16.5" customHeight="1" x14ac:dyDescent="0.3">
      <c r="AB70" s="169"/>
    </row>
  </sheetData>
  <mergeCells count="51">
    <mergeCell ref="A6:M6"/>
    <mergeCell ref="N6:AA6"/>
    <mergeCell ref="H1:I1"/>
    <mergeCell ref="H2:I2"/>
    <mergeCell ref="V2:W2"/>
    <mergeCell ref="H3:I3"/>
    <mergeCell ref="V3:W3"/>
    <mergeCell ref="Y7:Y8"/>
    <mergeCell ref="Z7:Z8"/>
    <mergeCell ref="AA7:AA8"/>
    <mergeCell ref="D8:E8"/>
    <mergeCell ref="F8:G8"/>
    <mergeCell ref="I8:K8"/>
    <mergeCell ref="L8:M8"/>
    <mergeCell ref="N7:N8"/>
    <mergeCell ref="P7:T8"/>
    <mergeCell ref="U7:U8"/>
    <mergeCell ref="V7:V8"/>
    <mergeCell ref="W7:W8"/>
    <mergeCell ref="X7:X8"/>
    <mergeCell ref="D9:E9"/>
    <mergeCell ref="F9:G9"/>
    <mergeCell ref="L9:M9"/>
    <mergeCell ref="D10:E10"/>
    <mergeCell ref="F10:G10"/>
    <mergeCell ref="L10:M10"/>
    <mergeCell ref="D11:E11"/>
    <mergeCell ref="F11:G11"/>
    <mergeCell ref="L11:M11"/>
    <mergeCell ref="D12:E12"/>
    <mergeCell ref="F12:G12"/>
    <mergeCell ref="L12:M12"/>
    <mergeCell ref="D13:E13"/>
    <mergeCell ref="F13:G13"/>
    <mergeCell ref="L13:M13"/>
    <mergeCell ref="D14:E14"/>
    <mergeCell ref="F14:G14"/>
    <mergeCell ref="L14:M14"/>
    <mergeCell ref="P56:T56"/>
    <mergeCell ref="L15:M15"/>
    <mergeCell ref="L16:M16"/>
    <mergeCell ref="B19:F25"/>
    <mergeCell ref="H19:L20"/>
    <mergeCell ref="H23:L24"/>
    <mergeCell ref="B26:F28"/>
    <mergeCell ref="H26:L28"/>
    <mergeCell ref="B29:F29"/>
    <mergeCell ref="H29:L29"/>
    <mergeCell ref="P29:T29"/>
    <mergeCell ref="P36:T36"/>
    <mergeCell ref="P37:T37"/>
  </mergeCells>
  <conditionalFormatting sqref="Z9:Z28">
    <cfRule type="cellIs" dxfId="1" priority="2" operator="lessThan">
      <formula>0</formula>
    </cfRule>
  </conditionalFormatting>
  <conditionalFormatting sqref="Z35">
    <cfRule type="cellIs" dxfId="0" priority="1" operator="lessThan">
      <formula>0</formula>
    </cfRule>
  </conditionalFormatting>
  <printOptions horizontalCentered="1"/>
  <pageMargins left="0.7" right="0.7" top="0.75" bottom="0.75" header="0.3" footer="0.3"/>
  <pageSetup scale="78" orientation="landscape"/>
  <headerFooter>
    <oddHeader>&amp;L&amp;C&amp;R</oddHeader>
    <oddFooter>&amp;L&amp;C&amp;R</oddFooter>
  </headerFooter>
  <rowBreaks count="1" manualBreakCount="1">
    <brk id="29" max="1048576" man="1"/>
  </rowBreaks>
  <colBreaks count="1" manualBreakCount="1">
    <brk id="13" max="16384" man="1"/>
  </col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50</vt:i4>
      </vt:variant>
    </vt:vector>
  </HeadingPairs>
  <TitlesOfParts>
    <vt:vector size="61" baseType="lpstr">
      <vt:lpstr>llm_README</vt:lpstr>
      <vt:lpstr>README_Instructions</vt:lpstr>
      <vt:lpstr>00_JobSetup</vt:lpstr>
      <vt:lpstr>01_ForecastLog</vt:lpstr>
      <vt:lpstr>04_VendorDetail</vt:lpstr>
      <vt:lpstr>02_BudgetLog</vt:lpstr>
      <vt:lpstr>03_BudgetReport</vt:lpstr>
      <vt:lpstr>zz_data</vt:lpstr>
      <vt:lpstr>zzz_yardi import</vt:lpstr>
      <vt:lpstr>TENANT_ESTIMATE</vt:lpstr>
      <vt:lpstr>PAY_APP</vt:lpstr>
      <vt:lpstr>zz_data!_FilterDatabase</vt:lpstr>
      <vt:lpstr>BUDGET_STATUS</vt:lpstr>
      <vt:lpstr>'04_VendorDetail'!BUDGET_TYPE</vt:lpstr>
      <vt:lpstr>BUDGET_TYPE</vt:lpstr>
      <vt:lpstr>'02_BudgetLog'!CATEGORIES</vt:lpstr>
      <vt:lpstr>'04_VendorDetail'!CATEGORIES</vt:lpstr>
      <vt:lpstr>CATEGORIES</vt:lpstr>
      <vt:lpstr>CM_FeePercent</vt:lpstr>
      <vt:lpstr>Dev_FeePercent</vt:lpstr>
      <vt:lpstr>DevFeeType</vt:lpstr>
      <vt:lpstr>'04_VendorDetail'!Forecast_Status</vt:lpstr>
      <vt:lpstr>Forecast_Status</vt:lpstr>
      <vt:lpstr>'02_BudgetLog'!FORECAST_TYPE</vt:lpstr>
      <vt:lpstr>'04_VendorDetail'!FORECAST_TYPE</vt:lpstr>
      <vt:lpstr>FORECAST_TYPE</vt:lpstr>
      <vt:lpstr>GC_FeePercent</vt:lpstr>
      <vt:lpstr>GC_InsPercent</vt:lpstr>
      <vt:lpstr>GCContingency_percentage</vt:lpstr>
      <vt:lpstr>JobCodeSelection</vt:lpstr>
      <vt:lpstr>OwnerContingency_percentage</vt:lpstr>
      <vt:lpstr>'00_JobSetup'!Print_Area</vt:lpstr>
      <vt:lpstr>'01_ForecastLog'!Print_Area</vt:lpstr>
      <vt:lpstr>'02_BudgetLog'!Print_Area</vt:lpstr>
      <vt:lpstr>'03_BudgetReport'!Print_Area</vt:lpstr>
      <vt:lpstr>'04_VendorDetail'!Print_Area</vt:lpstr>
      <vt:lpstr>PAY_APP!Print_Area</vt:lpstr>
      <vt:lpstr>README_Instructions!Print_Area</vt:lpstr>
      <vt:lpstr>'04_VendorDetail'!Project_Managers</vt:lpstr>
      <vt:lpstr>Project_Managers</vt:lpstr>
      <vt:lpstr>'02_BudgetLog'!rngCommitmentTypes</vt:lpstr>
      <vt:lpstr>'04_VendorDetail'!rngCommitmentTypes</vt:lpstr>
      <vt:lpstr>rngCommitmentTypes</vt:lpstr>
      <vt:lpstr>'02_BudgetLog'!rngCostCodes</vt:lpstr>
      <vt:lpstr>'04_VendorDetail'!rngCostCodes</vt:lpstr>
      <vt:lpstr>rngCostCodes</vt:lpstr>
      <vt:lpstr>'02_BudgetLog'!rngJobStatuses</vt:lpstr>
      <vt:lpstr>'04_VendorDetail'!rngJobStatuses</vt:lpstr>
      <vt:lpstr>rngJobStatuses</vt:lpstr>
      <vt:lpstr>'02_BudgetLog'!rngJobTypes</vt:lpstr>
      <vt:lpstr>'04_VendorDetail'!rngJobTypes</vt:lpstr>
      <vt:lpstr>rngJobTypes</vt:lpstr>
      <vt:lpstr>'02_BudgetLog'!rngProperties</vt:lpstr>
      <vt:lpstr>'04_VendorDetail'!rngProperties</vt:lpstr>
      <vt:lpstr>rngProperties</vt:lpstr>
      <vt:lpstr>'02_BudgetLog'!rngVendors</vt:lpstr>
      <vt:lpstr>'04_VendorDetail'!rngVendors</vt:lpstr>
      <vt:lpstr>rngVendors</vt:lpstr>
      <vt:lpstr>'02_BudgetLog'!VENDORS</vt:lpstr>
      <vt:lpstr>'04_VendorDetail'!VENDORS</vt:lpstr>
      <vt:lpstr>VENDORS</vt:lpstr>
    </vt:vector>
  </TitlesOfParts>
  <Company>Shortcut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Shortcut</dc:creator>
  <cp:lastModifiedBy>Mark Melanson</cp:lastModifiedBy>
  <cp:lastPrinted>2025-07-10T05:01:07Z</cp:lastPrinted>
  <dcterms:created xsi:type="dcterms:W3CDTF">2025-06-23T01:27:58Z</dcterms:created>
  <dcterms:modified xsi:type="dcterms:W3CDTF">2025-08-03T18:02:55Z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1" linkTarget="PROP_A1">
    <vt:lpwstr>#REF!</vt:lpwstr>
  </property>
  <property fmtid="{D5CDD505-2E9C-101B-9397-08002B2CF9AE}" pid="3" name="A10" linkTarget="PROP_A10">
    <vt:lpwstr>#REF!</vt:lpwstr>
  </property>
  <property fmtid="{D5CDD505-2E9C-101B-9397-08002B2CF9AE}" pid="4" name="A101" linkTarget="PROP_A101">
    <vt:lpwstr>#REF!</vt:lpwstr>
  </property>
  <property fmtid="{D5CDD505-2E9C-101B-9397-08002B2CF9AE}" pid="5" name="A103" linkTarget="PROP_A103">
    <vt:lpwstr>#REF!</vt:lpwstr>
  </property>
  <property fmtid="{D5CDD505-2E9C-101B-9397-08002B2CF9AE}" pid="6" name="A104" linkTarget="PROP_A104">
    <vt:lpwstr>#REF!</vt:lpwstr>
  </property>
  <property fmtid="{D5CDD505-2E9C-101B-9397-08002B2CF9AE}" pid="7" name="A106" linkTarget="PROP_A106">
    <vt:lpwstr>#REF!</vt:lpwstr>
  </property>
  <property fmtid="{D5CDD505-2E9C-101B-9397-08002B2CF9AE}" pid="8" name="A109" linkTarget="PROP_A109">
    <vt:lpwstr>#REF!</vt:lpwstr>
  </property>
  <property fmtid="{D5CDD505-2E9C-101B-9397-08002B2CF9AE}" pid="9" name="A11" linkTarget="PROP_A11">
    <vt:lpwstr>#REF!</vt:lpwstr>
  </property>
  <property fmtid="{D5CDD505-2E9C-101B-9397-08002B2CF9AE}" pid="10" name="A110" linkTarget="PROP_A110">
    <vt:lpwstr>#REF!</vt:lpwstr>
  </property>
  <property fmtid="{D5CDD505-2E9C-101B-9397-08002B2CF9AE}" pid="11" name="A111" linkTarget="PROP_A111">
    <vt:lpwstr>#REF!</vt:lpwstr>
  </property>
  <property fmtid="{D5CDD505-2E9C-101B-9397-08002B2CF9AE}" pid="12" name="A113" linkTarget="PROP_A113">
    <vt:lpwstr>#REF!</vt:lpwstr>
  </property>
  <property fmtid="{D5CDD505-2E9C-101B-9397-08002B2CF9AE}" pid="13" name="A114" linkTarget="PROP_A114">
    <vt:lpwstr>#REF!</vt:lpwstr>
  </property>
  <property fmtid="{D5CDD505-2E9C-101B-9397-08002B2CF9AE}" pid="14" name="A13" linkTarget="PROP_A13">
    <vt:lpwstr>#REF!</vt:lpwstr>
  </property>
  <property fmtid="{D5CDD505-2E9C-101B-9397-08002B2CF9AE}" pid="15" name="A14" linkTarget="PROP_A14">
    <vt:lpwstr>#REF!</vt:lpwstr>
  </property>
  <property fmtid="{D5CDD505-2E9C-101B-9397-08002B2CF9AE}" pid="16" name="A16" linkTarget="PROP_A16">
    <vt:lpwstr>#REF!</vt:lpwstr>
  </property>
  <property fmtid="{D5CDD505-2E9C-101B-9397-08002B2CF9AE}" pid="17" name="A17" linkTarget="PROP_A17">
    <vt:lpwstr>#REF!</vt:lpwstr>
  </property>
  <property fmtid="{D5CDD505-2E9C-101B-9397-08002B2CF9AE}" pid="18" name="A3" linkTarget="PROP_A3">
    <vt:lpwstr>#REF!</vt:lpwstr>
  </property>
  <property fmtid="{D5CDD505-2E9C-101B-9397-08002B2CF9AE}" pid="19" name="A4" linkTarget="PROP_A4">
    <vt:lpwstr>#REF!</vt:lpwstr>
  </property>
  <property fmtid="{D5CDD505-2E9C-101B-9397-08002B2CF9AE}" pid="20" name="A6" linkTarget="PROP_A6">
    <vt:lpwstr>#REF!</vt:lpwstr>
  </property>
  <property fmtid="{D5CDD505-2E9C-101B-9397-08002B2CF9AE}" pid="21" name="A9" linkTarget="PROP_A9">
    <vt:lpwstr>#REF!</vt:lpwstr>
  </property>
  <property fmtid="{D5CDD505-2E9C-101B-9397-08002B2CF9AE}" pid="22" name="B1" linkTarget="PROP_B1">
    <vt:lpwstr>#REF!</vt:lpwstr>
  </property>
  <property fmtid="{D5CDD505-2E9C-101B-9397-08002B2CF9AE}" pid="23" name="B11" linkTarget="PROP_B11">
    <vt:lpwstr>#REF!</vt:lpwstr>
  </property>
  <property fmtid="{D5CDD505-2E9C-101B-9397-08002B2CF9AE}" pid="24" name="B14" linkTarget="PROP_B14">
    <vt:lpwstr>#REF!</vt:lpwstr>
  </property>
  <property fmtid="{D5CDD505-2E9C-101B-9397-08002B2CF9AE}" pid="25" name="B15" linkTarget="PROP_B15">
    <vt:lpwstr>#REF!</vt:lpwstr>
  </property>
  <property fmtid="{D5CDD505-2E9C-101B-9397-08002B2CF9AE}" pid="26" name="B16" linkTarget="PROP_B16">
    <vt:lpwstr>#REF!</vt:lpwstr>
  </property>
  <property fmtid="{D5CDD505-2E9C-101B-9397-08002B2CF9AE}" pid="27" name="B17" linkTarget="PROP_B17">
    <vt:lpwstr>#REF!</vt:lpwstr>
  </property>
  <property fmtid="{D5CDD505-2E9C-101B-9397-08002B2CF9AE}" pid="28" name="B18" linkTarget="PROP_B18">
    <vt:lpwstr>#REF!</vt:lpwstr>
  </property>
  <property fmtid="{D5CDD505-2E9C-101B-9397-08002B2CF9AE}" pid="29" name="B19" linkTarget="PROP_B19">
    <vt:lpwstr>#REF!</vt:lpwstr>
  </property>
  <property fmtid="{D5CDD505-2E9C-101B-9397-08002B2CF9AE}" pid="30" name="B4" linkTarget="PROP_B4">
    <vt:lpwstr>#REF!</vt:lpwstr>
  </property>
  <property fmtid="{D5CDD505-2E9C-101B-9397-08002B2CF9AE}" pid="31" name="B5" linkTarget="PROP_B5">
    <vt:lpwstr>#REF!</vt:lpwstr>
  </property>
  <property fmtid="{D5CDD505-2E9C-101B-9397-08002B2CF9AE}" pid="32" name="B6" linkTarget="PROP_B6">
    <vt:lpwstr>#REF!</vt:lpwstr>
  </property>
  <property fmtid="{D5CDD505-2E9C-101B-9397-08002B2CF9AE}" pid="33" name="B7" linkTarget="PROP_B7">
    <vt:lpwstr>#REF!</vt:lpwstr>
  </property>
  <property fmtid="{D5CDD505-2E9C-101B-9397-08002B2CF9AE}" pid="34" name="B8" linkTarget="PROP_B8">
    <vt:lpwstr>#REF!</vt:lpwstr>
  </property>
  <property fmtid="{D5CDD505-2E9C-101B-9397-08002B2CF9AE}" pid="35" name="B9" linkTarget="PROP_B9">
    <vt:lpwstr>#REF!</vt:lpwstr>
  </property>
  <property fmtid="{D5CDD505-2E9C-101B-9397-08002B2CF9AE}" pid="36" name="C1" linkTarget="PROP_C1">
    <vt:lpwstr>#REF!</vt:lpwstr>
  </property>
  <property fmtid="{D5CDD505-2E9C-101B-9397-08002B2CF9AE}" pid="37" name="C101" linkTarget="PROP_C101">
    <vt:lpwstr>#REF!</vt:lpwstr>
  </property>
  <property fmtid="{D5CDD505-2E9C-101B-9397-08002B2CF9AE}" pid="38" name="C103" linkTarget="PROP_C103">
    <vt:lpwstr>#REF!</vt:lpwstr>
  </property>
  <property fmtid="{D5CDD505-2E9C-101B-9397-08002B2CF9AE}" pid="39" name="C3" linkTarget="PROP_C3">
    <vt:lpwstr>#REF!</vt:lpwstr>
  </property>
  <property fmtid="{D5CDD505-2E9C-101B-9397-08002B2CF9AE}" pid="40" name="C4" linkTarget="PROP_C4">
    <vt:lpwstr>#REF!</vt:lpwstr>
  </property>
  <property fmtid="{D5CDD505-2E9C-101B-9397-08002B2CF9AE}" pid="41" name="D1" linkTarget="PROP_D1">
    <vt:lpwstr>#REF!</vt:lpwstr>
  </property>
  <property fmtid="{D5CDD505-2E9C-101B-9397-08002B2CF9AE}" pid="42" name="D101" linkTarget="PROP_D101">
    <vt:lpwstr>#REF!</vt:lpwstr>
  </property>
  <property fmtid="{D5CDD505-2E9C-101B-9397-08002B2CF9AE}" pid="43" name="D102" linkTarget="PROP_D102">
    <vt:lpwstr>#REF!</vt:lpwstr>
  </property>
  <property fmtid="{D5CDD505-2E9C-101B-9397-08002B2CF9AE}" pid="44" name="D103" linkTarget="PROP_D103">
    <vt:lpwstr>#REF!</vt:lpwstr>
  </property>
  <property fmtid="{D5CDD505-2E9C-101B-9397-08002B2CF9AE}" pid="45" name="D104" linkTarget="PROP_D104">
    <vt:lpwstr>#REF!</vt:lpwstr>
  </property>
  <property fmtid="{D5CDD505-2E9C-101B-9397-08002B2CF9AE}" pid="46" name="D105" linkTarget="PROP_D105">
    <vt:lpwstr>#REF!</vt:lpwstr>
  </property>
  <property fmtid="{D5CDD505-2E9C-101B-9397-08002B2CF9AE}" pid="47" name="D2" linkTarget="PROP_D2">
    <vt:lpwstr>#REF!</vt:lpwstr>
  </property>
  <property fmtid="{D5CDD505-2E9C-101B-9397-08002B2CF9AE}" pid="48" name="D3" linkTarget="PROP_D3">
    <vt:lpwstr>#REF!</vt:lpwstr>
  </property>
  <property fmtid="{D5CDD505-2E9C-101B-9397-08002B2CF9AE}" pid="49" name="D4" linkTarget="PROP_D4">
    <vt:lpwstr>#REF!</vt:lpwstr>
  </property>
  <property fmtid="{D5CDD505-2E9C-101B-9397-08002B2CF9AE}" pid="50" name="D5" linkTarget="PROP_D5">
    <vt:lpwstr>#REF!</vt:lpwstr>
  </property>
  <property fmtid="{D5CDD505-2E9C-101B-9397-08002B2CF9AE}" pid="51" name="Info" linkTarget="Prop_Info">
    <vt:lpwstr>#REF!</vt:lpwstr>
  </property>
</Properties>
</file>